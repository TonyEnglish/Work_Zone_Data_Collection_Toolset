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do\OneDrive\Documents\GitHub\V2X-manual-data-collection\Sample Files\Testing Data\"/>
    </mc:Choice>
  </mc:AlternateContent>
  <xr:revisionPtr revIDLastSave="0" documentId="13_ncr:1_{2CDC90D4-6A86-430C-A9D3-9132B5AD7625}" xr6:coauthVersionLast="44" xr6:coauthVersionMax="44" xr10:uidLastSave="{00000000-0000-0000-0000-000000000000}"/>
  <bookViews>
    <workbookView minimized="1" xWindow="5910" yWindow="5260" windowWidth="23820" windowHeight="16260" xr2:uid="{6B240394-4D63-46FD-9150-D2F0DB46062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87" i="1" l="1"/>
  <c r="G85" i="1"/>
  <c r="G81" i="1"/>
  <c r="L68" i="1" s="1"/>
  <c r="M98" i="1" s="1"/>
  <c r="G79" i="1"/>
  <c r="G75" i="1"/>
  <c r="L66" i="1" s="1"/>
  <c r="L98" i="1" s="1"/>
  <c r="G73" i="1"/>
  <c r="L65" i="1" s="1"/>
  <c r="L97" i="1" s="1"/>
  <c r="G69" i="1"/>
  <c r="L64" i="1" s="1"/>
  <c r="K98" i="1" s="1"/>
  <c r="G67" i="1"/>
  <c r="L63" i="1" s="1"/>
  <c r="K97" i="1" s="1"/>
  <c r="G63" i="1"/>
  <c r="L62" i="1" s="1"/>
  <c r="J98" i="1" s="1"/>
  <c r="G61" i="1"/>
  <c r="L61" i="1" s="1"/>
  <c r="J97" i="1" s="1"/>
  <c r="N75" i="1"/>
  <c r="N76" i="1"/>
  <c r="M75" i="1"/>
  <c r="M76" i="1"/>
  <c r="L75" i="1"/>
  <c r="L76" i="1"/>
  <c r="K75" i="1"/>
  <c r="K76" i="1"/>
  <c r="J75" i="1"/>
  <c r="J76" i="1"/>
  <c r="F63" i="1"/>
  <c r="K62" i="1" s="1"/>
  <c r="F67" i="1"/>
  <c r="F69" i="1"/>
  <c r="F73" i="1"/>
  <c r="F75" i="1"/>
  <c r="F79" i="1"/>
  <c r="K67" i="1" s="1"/>
  <c r="F81" i="1"/>
  <c r="F85" i="1"/>
  <c r="K69" i="1" s="1"/>
  <c r="F87" i="1"/>
  <c r="K70" i="1" s="1"/>
  <c r="F61" i="1"/>
  <c r="K61" i="1" s="1"/>
  <c r="J61" i="1"/>
  <c r="J62" i="1"/>
  <c r="J63" i="1"/>
  <c r="J64" i="1"/>
  <c r="J65" i="1"/>
  <c r="J66" i="1"/>
  <c r="J67" i="1"/>
  <c r="J68" i="1"/>
  <c r="J69" i="1"/>
  <c r="J70" i="1"/>
  <c r="K64" i="1"/>
  <c r="K65" i="1"/>
  <c r="K66" i="1"/>
  <c r="K68" i="1"/>
  <c r="K63" i="1"/>
  <c r="L70" i="1"/>
  <c r="N98" i="1" s="1"/>
  <c r="L69" i="1"/>
  <c r="N97" i="1" s="1"/>
  <c r="L67" i="1"/>
  <c r="M97" i="1" s="1"/>
  <c r="C56" i="1"/>
  <c r="B58" i="1"/>
  <c r="B57" i="1"/>
  <c r="E87" i="1"/>
  <c r="E85" i="1"/>
  <c r="E81" i="1"/>
  <c r="E79" i="1"/>
  <c r="E75" i="1"/>
  <c r="E73" i="1"/>
  <c r="E69" i="1"/>
  <c r="E67" i="1"/>
  <c r="E63" i="1"/>
  <c r="E61" i="1"/>
  <c r="E30" i="1"/>
  <c r="E22" i="1"/>
  <c r="E29" i="1"/>
  <c r="E15" i="1"/>
  <c r="E33" i="1"/>
  <c r="E36" i="1"/>
  <c r="E47" i="1"/>
  <c r="E14" i="1"/>
  <c r="E28" i="1"/>
  <c r="E32" i="1"/>
  <c r="E46" i="1"/>
  <c r="E13" i="1"/>
  <c r="E40" i="1"/>
  <c r="E48" i="1"/>
  <c r="E49" i="1"/>
  <c r="E17" i="1"/>
  <c r="E20" i="1"/>
  <c r="E23" i="1"/>
  <c r="E12" i="1"/>
  <c r="E41" i="1"/>
  <c r="E44" i="1"/>
  <c r="E21" i="1"/>
  <c r="E24" i="1"/>
  <c r="E45" i="1"/>
  <c r="E25" i="1"/>
  <c r="E37" i="1"/>
  <c r="E39" i="1"/>
  <c r="E31" i="1"/>
  <c r="E38" i="1"/>
  <c r="E16" i="1"/>
  <c r="H17" i="1" l="1"/>
  <c r="K15" i="1"/>
  <c r="J16" i="1"/>
  <c r="K16" i="1"/>
  <c r="K14" i="1"/>
  <c r="I18" i="1"/>
  <c r="L14" i="1"/>
  <c r="I17" i="1"/>
  <c r="I14" i="1"/>
  <c r="L13" i="1"/>
  <c r="K18" i="1"/>
  <c r="H13" i="1"/>
  <c r="E52" i="1"/>
  <c r="I16" i="1"/>
  <c r="I13" i="1"/>
  <c r="H18" i="1"/>
  <c r="L18" i="1"/>
  <c r="L17" i="1"/>
  <c r="K17" i="1"/>
  <c r="H14" i="1"/>
  <c r="L15" i="1"/>
  <c r="J17" i="1"/>
  <c r="J13" i="1"/>
  <c r="H15" i="1"/>
  <c r="L16" i="1"/>
  <c r="K13" i="1"/>
  <c r="J18" i="1"/>
  <c r="H16" i="1"/>
  <c r="J14" i="1"/>
  <c r="I15" i="1"/>
  <c r="J15" i="1"/>
</calcChain>
</file>

<file path=xl/sharedStrings.xml><?xml version="1.0" encoding="utf-8"?>
<sst xmlns="http://schemas.openxmlformats.org/spreadsheetml/2006/main" count="115" uniqueCount="45">
  <si>
    <t>LC 1</t>
  </si>
  <si>
    <t>WP</t>
  </si>
  <si>
    <t>WNP</t>
  </si>
  <si>
    <t>LO1</t>
  </si>
  <si>
    <t>BEGIN</t>
  </si>
  <si>
    <t>END</t>
  </si>
  <si>
    <t>Test #</t>
  </si>
  <si>
    <t> -104.655958174084</t>
  </si>
  <si>
    <t>Test 1</t>
  </si>
  <si>
    <t>Test 2</t>
  </si>
  <si>
    <t>Test 3</t>
  </si>
  <si>
    <t>Test 4</t>
  </si>
  <si>
    <t>Test 5</t>
  </si>
  <si>
    <t>Begin WZ</t>
  </si>
  <si>
    <t>Begin LC</t>
  </si>
  <si>
    <t>End WP</t>
  </si>
  <si>
    <t>Begin WP</t>
  </si>
  <si>
    <t>End LC</t>
  </si>
  <si>
    <t>End WZ</t>
  </si>
  <si>
    <t>Feature Accuracy Analysis</t>
  </si>
  <si>
    <t>Lane Taper Length Analysis</t>
  </si>
  <si>
    <t>Normal roadway speed (mph)</t>
  </si>
  <si>
    <t>Lane Width (ft)</t>
  </si>
  <si>
    <t>Taper Length (ft)</t>
  </si>
  <si>
    <t>(Independent locations)</t>
  </si>
  <si>
    <t>LC 1 Taper Start</t>
  </si>
  <si>
    <t>LC 1 Taper End</t>
  </si>
  <si>
    <t>LO 1 Taper Start</t>
  </si>
  <si>
    <t>LO 1 Taper End</t>
  </si>
  <si>
    <t>% Error</t>
  </si>
  <si>
    <t>Error (ft)</t>
  </si>
  <si>
    <t>Distance (ft)</t>
  </si>
  <si>
    <t>Test 1 LC</t>
  </si>
  <si>
    <t>Test 2 LC</t>
  </si>
  <si>
    <t>Test 1 LO</t>
  </si>
  <si>
    <t>Test 2 LO</t>
  </si>
  <si>
    <t>Test 3 LC</t>
  </si>
  <si>
    <t>Test 3 LO</t>
  </si>
  <si>
    <t>Test 4 LC</t>
  </si>
  <si>
    <t>Test 4 LO</t>
  </si>
  <si>
    <t>Test 5 LC</t>
  </si>
  <si>
    <t>Test 5 LO</t>
  </si>
  <si>
    <t>Error (%)</t>
  </si>
  <si>
    <t>Lane Closed</t>
  </si>
  <si>
    <t>Lane Opened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</si>
</sst>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8E00"/>
      <color rgb="FFE600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Sheet1!$E$3:$E$11</c:f>
              <c:strCache>
                <c:ptCount val="9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Sheet1!$E$12:$E$49</c:f>
              <c:numCache>
                <c:formatCode>General</c:formatCode>
                <c:ptCount val="38"/>
                <c:pt idx="0">
                  <c:v>1.8137363202588297</c:v>
                </c:pt>
                <c:pt idx="1">
                  <c:v>3.2542180611396798</c:v>
                </c:pt>
                <c:pt idx="2">
                  <c:v>1.9222932731508546</c:v>
                </c:pt>
                <c:pt idx="3">
                  <c:v>2.8904641337359482</c:v>
                </c:pt>
                <c:pt idx="4">
                  <c:v>3.7339876280426676</c:v>
                </c:pt>
                <c:pt idx="5">
                  <c:v>2.3273674380828169</c:v>
                </c:pt>
                <c:pt idx="8">
                  <c:v>3.2361659338493443</c:v>
                </c:pt>
                <c:pt idx="9">
                  <c:v>2.1439408822747641</c:v>
                </c:pt>
                <c:pt idx="10">
                  <c:v>1.5248866800661176</c:v>
                </c:pt>
                <c:pt idx="11">
                  <c:v>1.4798948358960562</c:v>
                </c:pt>
                <c:pt idx="12">
                  <c:v>1.6876067697646491</c:v>
                </c:pt>
                <c:pt idx="13">
                  <c:v>1.674202214928977</c:v>
                </c:pt>
                <c:pt idx="16">
                  <c:v>1.5570546561929355</c:v>
                </c:pt>
                <c:pt idx="17">
                  <c:v>2.7085691035877435</c:v>
                </c:pt>
                <c:pt idx="18">
                  <c:v>0.18987059593200684</c:v>
                </c:pt>
                <c:pt idx="19">
                  <c:v>4.6041172656603457</c:v>
                </c:pt>
                <c:pt idx="20">
                  <c:v>4.3078035632049261</c:v>
                </c:pt>
                <c:pt idx="21">
                  <c:v>2.9628331571405209</c:v>
                </c:pt>
                <c:pt idx="24">
                  <c:v>1.8481930071683195</c:v>
                </c:pt>
                <c:pt idx="25">
                  <c:v>7.0935156584586156</c:v>
                </c:pt>
                <c:pt idx="26">
                  <c:v>2.3234917192171967</c:v>
                </c:pt>
                <c:pt idx="27">
                  <c:v>1.3324804044216876</c:v>
                </c:pt>
                <c:pt idx="28">
                  <c:v>2.0734182041344251</c:v>
                </c:pt>
                <c:pt idx="29">
                  <c:v>2.923020669313825</c:v>
                </c:pt>
                <c:pt idx="32">
                  <c:v>2.1481405749201876</c:v>
                </c:pt>
                <c:pt idx="33">
                  <c:v>5.4898547256818642</c:v>
                </c:pt>
                <c:pt idx="34">
                  <c:v>3.0821092094917013</c:v>
                </c:pt>
                <c:pt idx="35">
                  <c:v>3.9062154811417837</c:v>
                </c:pt>
                <c:pt idx="36">
                  <c:v>3.5113228812435615</c:v>
                </c:pt>
                <c:pt idx="37">
                  <c:v>2.6085621802434122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8-42DB-A172-E5E5CE261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3944536"/>
        <c:axId val="732654448"/>
      </c:barChart>
      <c:catAx>
        <c:axId val="573944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54448"/>
        <c:crosses val="autoZero"/>
        <c:auto val="1"/>
        <c:lblAlgn val="ctr"/>
        <c:lblOffset val="100"/>
        <c:noMultiLvlLbl val="0"/>
      </c:catAx>
      <c:valAx>
        <c:axId val="73265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4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Sheet1!$H$12</c:f>
              <c:strCache>
                <c:ptCount val="1"/>
                <c:pt idx="0">
                  <c:v>Test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Sheet1!$G$13:$G$18</c:f>
              <c:strCache>
                <c:ptCount val="6"/>
                <c:pt idx="0">
                  <c:v>Begin WZ</c:v>
                </c:pt>
                <c:pt idx="1">
                  <c:v>Begin LC</c:v>
                </c:pt>
                <c:pt idx="2">
                  <c:v>Begin WP</c:v>
                </c:pt>
                <c:pt idx="3">
                  <c:v>End WP</c:v>
                </c:pt>
                <c:pt idx="4">
                  <c:v>End LC</c:v>
                </c:pt>
                <c:pt idx="5">
                  <c:v>End WZ</c:v>
                </c:pt>
              </c:strCache>
            </c:strRef>
          </c:cat>
          <c:val>
            <c:numRef>
              <c:f>Sheet1!$H$13:$H$18</c:f>
              <c:numCache>
                <c:formatCode>General</c:formatCode>
                <c:ptCount val="6"/>
                <c:pt idx="0">
                  <c:v>1.8137363202588297</c:v>
                </c:pt>
                <c:pt idx="1">
                  <c:v>3.2542180611396798</c:v>
                </c:pt>
                <c:pt idx="2">
                  <c:v>1.9222932731508546</c:v>
                </c:pt>
                <c:pt idx="3">
                  <c:v>2.8904641337359482</c:v>
                </c:pt>
                <c:pt idx="4">
                  <c:v>3.7339876280426676</c:v>
                </c:pt>
                <c:pt idx="5">
                  <c:v>2.3273674380828169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C-4251-8EFB-11AA3467F50E}"/>
            </c:ext>
          </c:extLst>
        </c:ser>
        <c:ser>
          <c:idx val="1"/>
          <c:order val="1"/>
          <c:tx>
            <c:strRef>
              <c:f>Sheet1!$I$12</c:f>
              <c:strCache>
                <c:ptCount val="1"/>
                <c:pt idx="0">
                  <c:v>Test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Sheet1!$G$13:$G$18</c:f>
              <c:strCache>
                <c:ptCount val="6"/>
                <c:pt idx="0">
                  <c:v>Begin WZ</c:v>
                </c:pt>
                <c:pt idx="1">
                  <c:v>Begin LC</c:v>
                </c:pt>
                <c:pt idx="2">
                  <c:v>Begin WP</c:v>
                </c:pt>
                <c:pt idx="3">
                  <c:v>End WP</c:v>
                </c:pt>
                <c:pt idx="4">
                  <c:v>End LC</c:v>
                </c:pt>
                <c:pt idx="5">
                  <c:v>End WZ</c:v>
                </c:pt>
              </c:strCache>
            </c:strRef>
          </c:cat>
          <c:val>
            <c:numRef>
              <c:f>Sheet1!$I$13:$I$18</c:f>
              <c:numCache>
                <c:formatCode>General</c:formatCode>
                <c:ptCount val="6"/>
                <c:pt idx="0">
                  <c:v>3.2361659338493443</c:v>
                </c:pt>
                <c:pt idx="1">
                  <c:v>2.1439408822747641</c:v>
                </c:pt>
                <c:pt idx="2">
                  <c:v>1.5248866800661176</c:v>
                </c:pt>
                <c:pt idx="3">
                  <c:v>1.4798948358960562</c:v>
                </c:pt>
                <c:pt idx="4">
                  <c:v>1.6876067697646491</c:v>
                </c:pt>
                <c:pt idx="5">
                  <c:v>1.674202214928977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C-4251-8EFB-11AA3467F50E}"/>
            </c:ext>
          </c:extLst>
        </c:ser>
        <c:ser>
          <c:idx val="2"/>
          <c:order val="2"/>
          <c:tx>
            <c:strRef>
              <c:f>Sheet1!$J$12</c:f>
              <c:strCache>
                <c:ptCount val="1"/>
                <c:pt idx="0">
                  <c:v>Test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Sheet1!$G$13:$G$18</c:f>
              <c:strCache>
                <c:ptCount val="6"/>
                <c:pt idx="0">
                  <c:v>Begin WZ</c:v>
                </c:pt>
                <c:pt idx="1">
                  <c:v>Begin LC</c:v>
                </c:pt>
                <c:pt idx="2">
                  <c:v>Begin WP</c:v>
                </c:pt>
                <c:pt idx="3">
                  <c:v>End WP</c:v>
                </c:pt>
                <c:pt idx="4">
                  <c:v>End LC</c:v>
                </c:pt>
                <c:pt idx="5">
                  <c:v>End WZ</c:v>
                </c:pt>
              </c:strCache>
            </c:strRef>
          </c:cat>
          <c:val>
            <c:numRef>
              <c:f>Sheet1!$J$13:$J$18</c:f>
              <c:numCache>
                <c:formatCode>General</c:formatCode>
                <c:ptCount val="6"/>
                <c:pt idx="0">
                  <c:v>1.5570546561929355</c:v>
                </c:pt>
                <c:pt idx="1">
                  <c:v>2.7085691035877435</c:v>
                </c:pt>
                <c:pt idx="2">
                  <c:v>0.18987059593200684</c:v>
                </c:pt>
                <c:pt idx="3">
                  <c:v>4.6041172656603457</c:v>
                </c:pt>
                <c:pt idx="4">
                  <c:v>4.3078035632049261</c:v>
                </c:pt>
                <c:pt idx="5">
                  <c:v>2.9628331571405209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C-4251-8EFB-11AA3467F50E}"/>
            </c:ext>
          </c:extLst>
        </c:ser>
        <c:ser>
          <c:idx val="3"/>
          <c:order val="3"/>
          <c:tx>
            <c:strRef>
              <c:f>Sheet1!$K$12</c:f>
              <c:strCache>
                <c:ptCount val="1"/>
                <c:pt idx="0">
                  <c:v>Test 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Sheet1!$G$13:$G$18</c:f>
              <c:strCache>
                <c:ptCount val="6"/>
                <c:pt idx="0">
                  <c:v>Begin WZ</c:v>
                </c:pt>
                <c:pt idx="1">
                  <c:v>Begin LC</c:v>
                </c:pt>
                <c:pt idx="2">
                  <c:v>Begin WP</c:v>
                </c:pt>
                <c:pt idx="3">
                  <c:v>End WP</c:v>
                </c:pt>
                <c:pt idx="4">
                  <c:v>End LC</c:v>
                </c:pt>
                <c:pt idx="5">
                  <c:v>End WZ</c:v>
                </c:pt>
              </c:strCache>
            </c:strRef>
          </c:cat>
          <c:val>
            <c:numRef>
              <c:f>Sheet1!$K$13:$K$18</c:f>
              <c:numCache>
                <c:formatCode>General</c:formatCode>
                <c:ptCount val="6"/>
                <c:pt idx="0">
                  <c:v>1.8481930071683195</c:v>
                </c:pt>
                <c:pt idx="1">
                  <c:v>7.0935156584586156</c:v>
                </c:pt>
                <c:pt idx="2">
                  <c:v>2.3234917192171967</c:v>
                </c:pt>
                <c:pt idx="3">
                  <c:v>1.3324804044216876</c:v>
                </c:pt>
                <c:pt idx="4">
                  <c:v>2.0734182041344251</c:v>
                </c:pt>
                <c:pt idx="5">
                  <c:v>2.923020669313825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C-4251-8EFB-11AA3467F50E}"/>
            </c:ext>
          </c:extLst>
        </c:ser>
        <c:ser>
          <c:idx val="4"/>
          <c:order val="4"/>
          <c:tx>
            <c:strRef>
              <c:f>Sheet1!$L$12</c:f>
              <c:strCache>
                <c:ptCount val="1"/>
                <c:pt idx="0">
                  <c:v>Test 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Sheet1!$G$13:$G$18</c:f>
              <c:strCache>
                <c:ptCount val="6"/>
                <c:pt idx="0">
                  <c:v>Begin WZ</c:v>
                </c:pt>
                <c:pt idx="1">
                  <c:v>Begin LC</c:v>
                </c:pt>
                <c:pt idx="2">
                  <c:v>Begin WP</c:v>
                </c:pt>
                <c:pt idx="3">
                  <c:v>End WP</c:v>
                </c:pt>
                <c:pt idx="4">
                  <c:v>End LC</c:v>
                </c:pt>
                <c:pt idx="5">
                  <c:v>End WZ</c:v>
                </c:pt>
              </c:strCache>
            </c:strRef>
          </c:cat>
          <c:val>
            <c:numRef>
              <c:f>Sheet1!$L$13:$L$18</c:f>
              <c:numCache>
                <c:formatCode>General</c:formatCode>
                <c:ptCount val="6"/>
                <c:pt idx="0">
                  <c:v>2.1481405749201876</c:v>
                </c:pt>
                <c:pt idx="1">
                  <c:v>5.4898547256818642</c:v>
                </c:pt>
                <c:pt idx="2">
                  <c:v>3.0821092094917013</c:v>
                </c:pt>
                <c:pt idx="3">
                  <c:v>3.9062154811417837</c:v>
                </c:pt>
                <c:pt idx="4">
                  <c:v>3.5113228812435615</c:v>
                </c:pt>
                <c:pt idx="5">
                  <c:v>2.6085621802434122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C-4251-8EFB-11AA3467F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8805632"/>
        <c:axId val="448806288"/>
      </c:barChart>
      <c:catAx>
        <c:axId val="44880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806288"/>
        <c:crosses val="autoZero"/>
        <c:auto val="1"/>
        <c:lblAlgn val="ctr"/>
        <c:lblOffset val="100"/>
        <c:noMultiLvlLbl val="0"/>
      </c:catAx>
      <c:valAx>
        <c:axId val="44880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80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Accuracy Testing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Sheet1!$G$13</c:f>
              <c:strCache>
                <c:ptCount val="1"/>
                <c:pt idx="0">
                  <c:v>Begin WZ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Sheet1!$H$12:$L$12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Sheet1!$H$13:$L$13</c:f>
              <c:numCache>
                <c:formatCode>General</c:formatCode>
                <c:ptCount val="5"/>
                <c:pt idx="0">
                  <c:v>1.8137363202588297</c:v>
                </c:pt>
                <c:pt idx="1">
                  <c:v>3.2361659338493443</c:v>
                </c:pt>
                <c:pt idx="2">
                  <c:v>1.5570546561929355</c:v>
                </c:pt>
                <c:pt idx="3">
                  <c:v>1.8481930071683195</c:v>
                </c:pt>
                <c:pt idx="4">
                  <c:v>2.1481405749201876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F4-4E65-B157-3582BCD1330A}"/>
            </c:ext>
          </c:extLst>
        </c:ser>
        <c:ser>
          <c:idx val="1"/>
          <c:order val="1"/>
          <c:tx>
            <c:strRef>
              <c:f>Sheet1!$G$14</c:f>
              <c:strCache>
                <c:ptCount val="1"/>
                <c:pt idx="0">
                  <c:v>Begin LC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Sheet1!$H$12:$L$12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Sheet1!$H$14:$L$14</c:f>
              <c:numCache>
                <c:formatCode>General</c:formatCode>
                <c:ptCount val="5"/>
                <c:pt idx="0">
                  <c:v>3.2542180611396798</c:v>
                </c:pt>
                <c:pt idx="1">
                  <c:v>2.1439408822747641</c:v>
                </c:pt>
                <c:pt idx="2">
                  <c:v>2.7085691035877435</c:v>
                </c:pt>
                <c:pt idx="3">
                  <c:v>7.0935156584586156</c:v>
                </c:pt>
                <c:pt idx="4">
                  <c:v>5.4898547256818642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F4-4E65-B157-3582BCD1330A}"/>
            </c:ext>
          </c:extLst>
        </c:ser>
        <c:ser>
          <c:idx val="2"/>
          <c:order val="2"/>
          <c:tx>
            <c:strRef>
              <c:f>Sheet1!$G$15</c:f>
              <c:strCache>
                <c:ptCount val="1"/>
                <c:pt idx="0">
                  <c:v>Begin WP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Sheet1!$H$12:$L$12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Sheet1!$H$15:$L$15</c:f>
              <c:numCache>
                <c:formatCode>General</c:formatCode>
                <c:ptCount val="5"/>
                <c:pt idx="0">
                  <c:v>1.9222932731508546</c:v>
                </c:pt>
                <c:pt idx="1">
                  <c:v>1.5248866800661176</c:v>
                </c:pt>
                <c:pt idx="2">
                  <c:v>0.18987059593200684</c:v>
                </c:pt>
                <c:pt idx="3">
                  <c:v>2.3234917192171967</c:v>
                </c:pt>
                <c:pt idx="4">
                  <c:v>3.0821092094917013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F4-4E65-B157-3582BCD1330A}"/>
            </c:ext>
          </c:extLst>
        </c:ser>
        <c:ser>
          <c:idx val="3"/>
          <c:order val="3"/>
          <c:tx>
            <c:strRef>
              <c:f>Sheet1!$G$16</c:f>
              <c:strCache>
                <c:ptCount val="1"/>
                <c:pt idx="0">
                  <c:v>End WP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Sheet1!$H$12:$L$12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Sheet1!$H$16:$L$16</c:f>
              <c:numCache>
                <c:formatCode>General</c:formatCode>
                <c:ptCount val="5"/>
                <c:pt idx="0">
                  <c:v>2.8904641337359482</c:v>
                </c:pt>
                <c:pt idx="1">
                  <c:v>1.4798948358960562</c:v>
                </c:pt>
                <c:pt idx="2">
                  <c:v>4.6041172656603457</c:v>
                </c:pt>
                <c:pt idx="3">
                  <c:v>1.3324804044216876</c:v>
                </c:pt>
                <c:pt idx="4">
                  <c:v>3.9062154811417837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F4-4E65-B157-3582BCD1330A}"/>
            </c:ext>
          </c:extLst>
        </c:ser>
        <c:ser>
          <c:idx val="4"/>
          <c:order val="4"/>
          <c:tx>
            <c:strRef>
              <c:f>Sheet1!$G$17</c:f>
              <c:strCache>
                <c:ptCount val="1"/>
                <c:pt idx="0">
                  <c:v>End LC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Sheet1!$H$12:$L$12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Sheet1!$H$17:$L$17</c:f>
              <c:numCache>
                <c:formatCode>General</c:formatCode>
                <c:ptCount val="5"/>
                <c:pt idx="0">
                  <c:v>3.7339876280426676</c:v>
                </c:pt>
                <c:pt idx="1">
                  <c:v>1.6876067697646491</c:v>
                </c:pt>
                <c:pt idx="2">
                  <c:v>4.3078035632049261</c:v>
                </c:pt>
                <c:pt idx="3">
                  <c:v>2.0734182041344251</c:v>
                </c:pt>
                <c:pt idx="4">
                  <c:v>3.5113228812435615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F4-4E65-B157-3582BCD1330A}"/>
            </c:ext>
          </c:extLst>
        </c:ser>
        <c:ser>
          <c:idx val="5"/>
          <c:order val="5"/>
          <c:tx>
            <c:strRef>
              <c:f>Sheet1!$G$18</c:f>
              <c:strCache>
                <c:ptCount val="1"/>
                <c:pt idx="0">
                  <c:v>End WZ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Sheet1!$H$12:$L$12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Sheet1!$H$18:$L$18</c:f>
              <c:numCache>
                <c:formatCode>General</c:formatCode>
                <c:ptCount val="5"/>
                <c:pt idx="0">
                  <c:v>2.3273674380828169</c:v>
                </c:pt>
                <c:pt idx="1">
                  <c:v>1.674202214928977</c:v>
                </c:pt>
                <c:pt idx="2">
                  <c:v>2.9628331571405209</c:v>
                </c:pt>
                <c:pt idx="3">
                  <c:v>2.923020669313825</c:v>
                </c:pt>
                <c:pt idx="4">
                  <c:v>2.6085621802434122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F4-4E65-B157-3582BCD13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3587648"/>
        <c:axId val="843584696"/>
      </c:barChart>
      <c:catAx>
        <c:axId val="84358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584696"/>
        <c:crosses val="autoZero"/>
        <c:auto val="1"/>
        <c:lblAlgn val="ctr"/>
        <c:lblOffset val="100"/>
        <c:noMultiLvlLbl val="0"/>
      </c:catAx>
      <c:valAx>
        <c:axId val="84358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Distance (m)</a:t>
                </a:r>
              </a:p>
            </c:rich>
          </c:tx>
          <c:layout>
            <c:manualLayout>
              <c:xMode val="edge"/>
              <c:yMode val="edge"/>
              <c:x val="3.0481465327169548E-2"/>
              <c:y val="0.38008529128071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5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Sheet1!$J$60</c:f>
              <c:strCache>
                <c:ptCount val="1"/>
                <c:pt idx="0">
                  <c:v>Distance (ft)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Sheet1!$I$61:$I$70</c:f>
              <c:strCache>
                <c:ptCount val="10"/>
                <c:pt idx="0">
                  <c:v>Test 1 LC</c:v>
                </c:pt>
                <c:pt idx="1">
                  <c:v>Test 1 LO</c:v>
                </c:pt>
                <c:pt idx="2">
                  <c:v>Test 2 LC</c:v>
                </c:pt>
                <c:pt idx="3">
                  <c:v>Test 2 LO</c:v>
                </c:pt>
                <c:pt idx="4">
                  <c:v>Test 3 LC</c:v>
                </c:pt>
                <c:pt idx="5">
                  <c:v>Test 3 LO</c:v>
                </c:pt>
                <c:pt idx="6">
                  <c:v>Test 4 LC</c:v>
                </c:pt>
                <c:pt idx="7">
                  <c:v>Test 4 LO</c:v>
                </c:pt>
                <c:pt idx="8">
                  <c:v>Test 5 LC</c:v>
                </c:pt>
                <c:pt idx="9">
                  <c:v>Test 5 LO</c:v>
                </c:pt>
              </c:strCache>
            </c:strRef>
          </c:cat>
          <c:val>
            <c:numRef>
              <c:f>Sheet1!$J$61:$J$70</c:f>
              <c:numCache>
                <c:formatCode>General</c:formatCode>
                <c:ptCount val="10"/>
                <c:pt idx="0">
                  <c:v>124.75</c:v>
                </c:pt>
                <c:pt idx="1">
                  <c:v>119.86</c:v>
                </c:pt>
                <c:pt idx="2">
                  <c:v>123.59</c:v>
                </c:pt>
                <c:pt idx="3">
                  <c:v>121.24</c:v>
                </c:pt>
                <c:pt idx="4">
                  <c:v>125.05</c:v>
                </c:pt>
                <c:pt idx="5">
                  <c:v>121.12</c:v>
                </c:pt>
                <c:pt idx="6">
                  <c:v>127.86</c:v>
                </c:pt>
                <c:pt idx="7">
                  <c:v>120.86</c:v>
                </c:pt>
                <c:pt idx="8">
                  <c:v>124.38</c:v>
                </c:pt>
                <c:pt idx="9">
                  <c:v>121.55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0C-4741-A114-E7D9E7DBF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2606424"/>
        <c:axId val="592606752"/>
      </c:barChart>
      <c:catAx>
        <c:axId val="592606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06752"/>
        <c:crosses val="autoZero"/>
        <c:auto val="1"/>
        <c:lblAlgn val="ctr"/>
        <c:lblOffset val="100"/>
        <c:noMultiLvlLbl val="0"/>
      </c:catAx>
      <c:valAx>
        <c:axId val="59260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0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Sheet1!$K$60</c:f>
              <c:strCache>
                <c:ptCount val="1"/>
                <c:pt idx="0">
                  <c:v>Error (ft)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Sheet1!$I$61:$I$70</c:f>
              <c:strCache>
                <c:ptCount val="10"/>
                <c:pt idx="0">
                  <c:v>Test 1 LC</c:v>
                </c:pt>
                <c:pt idx="1">
                  <c:v>Test 1 LO</c:v>
                </c:pt>
                <c:pt idx="2">
                  <c:v>Test 2 LC</c:v>
                </c:pt>
                <c:pt idx="3">
                  <c:v>Test 2 LO</c:v>
                </c:pt>
                <c:pt idx="4">
                  <c:v>Test 3 LC</c:v>
                </c:pt>
                <c:pt idx="5">
                  <c:v>Test 3 LO</c:v>
                </c:pt>
                <c:pt idx="6">
                  <c:v>Test 4 LC</c:v>
                </c:pt>
                <c:pt idx="7">
                  <c:v>Test 4 LO</c:v>
                </c:pt>
                <c:pt idx="8">
                  <c:v>Test 5 LC</c:v>
                </c:pt>
                <c:pt idx="9">
                  <c:v>Test 5 LO</c:v>
                </c:pt>
              </c:strCache>
            </c:strRef>
          </c:cat>
          <c:val>
            <c:numRef>
              <c:f>Sheet1!$K$61:$K$70</c:f>
              <c:numCache>
                <c:formatCode>General</c:formatCode>
                <c:ptCount val="10"/>
                <c:pt idx="0">
                  <c:v>-1.72</c:v>
                </c:pt>
                <c:pt idx="1">
                  <c:v>3.17</c:v>
                </c:pt>
                <c:pt idx="2">
                  <c:v>-0.56000000000000005</c:v>
                </c:pt>
                <c:pt idx="3">
                  <c:v>1.79</c:v>
                </c:pt>
                <c:pt idx="4">
                  <c:v>-2.02</c:v>
                </c:pt>
                <c:pt idx="5">
                  <c:v>1.91</c:v>
                </c:pt>
                <c:pt idx="6">
                  <c:v>-4.83</c:v>
                </c:pt>
                <c:pt idx="7">
                  <c:v>2.1800000000000002</c:v>
                </c:pt>
                <c:pt idx="8">
                  <c:v>-1.35</c:v>
                </c:pt>
                <c:pt idx="9">
                  <c:v>1.48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C-4531-B02E-8E130A203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1309904"/>
        <c:axId val="601306624"/>
      </c:barChart>
      <c:catAx>
        <c:axId val="60130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306624"/>
        <c:crosses val="autoZero"/>
        <c:auto val="1"/>
        <c:lblAlgn val="ctr"/>
        <c:lblOffset val="100"/>
        <c:noMultiLvlLbl val="0"/>
      </c:catAx>
      <c:valAx>
        <c:axId val="60130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30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Sheet1!$L$60</c:f>
              <c:strCache>
                <c:ptCount val="1"/>
                <c:pt idx="0">
                  <c:v>Error 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Sheet1!$I$61:$I$70</c:f>
              <c:strCache>
                <c:ptCount val="10"/>
                <c:pt idx="0">
                  <c:v>Test 1 LC</c:v>
                </c:pt>
                <c:pt idx="1">
                  <c:v>Test 1 LO</c:v>
                </c:pt>
                <c:pt idx="2">
                  <c:v>Test 2 LC</c:v>
                </c:pt>
                <c:pt idx="3">
                  <c:v>Test 2 LO</c:v>
                </c:pt>
                <c:pt idx="4">
                  <c:v>Test 3 LC</c:v>
                </c:pt>
                <c:pt idx="5">
                  <c:v>Test 3 LO</c:v>
                </c:pt>
                <c:pt idx="6">
                  <c:v>Test 4 LC</c:v>
                </c:pt>
                <c:pt idx="7">
                  <c:v>Test 4 LO</c:v>
                </c:pt>
                <c:pt idx="8">
                  <c:v>Test 5 LC</c:v>
                </c:pt>
                <c:pt idx="9">
                  <c:v>Test 5 LO</c:v>
                </c:pt>
              </c:strCache>
            </c:strRef>
          </c:cat>
          <c:val>
            <c:numRef>
              <c:f>Sheet1!$L$61:$L$70</c:f>
              <c:numCache>
                <c:formatCode>General</c:formatCode>
                <c:ptCount val="10"/>
                <c:pt idx="0">
                  <c:v>1.3968241013110106E-2</c:v>
                </c:pt>
                <c:pt idx="1">
                  <c:v>2.5794631343148449E-2</c:v>
                </c:pt>
                <c:pt idx="2">
                  <c:v>4.5699771493530293E-3</c:v>
                </c:pt>
                <c:pt idx="3">
                  <c:v>1.4570184393792276E-2</c:v>
                </c:pt>
                <c:pt idx="4">
                  <c:v>1.6417732973315217E-2</c:v>
                </c:pt>
                <c:pt idx="5">
                  <c:v>1.5500667162878951E-2</c:v>
                </c:pt>
                <c:pt idx="6">
                  <c:v>3.9285960366284484E-2</c:v>
                </c:pt>
                <c:pt idx="7">
                  <c:v>1.7690444759403789E-2</c:v>
                </c:pt>
                <c:pt idx="8">
                  <c:v>1.0948747856398735E-2</c:v>
                </c:pt>
                <c:pt idx="9">
                  <c:v>1.2023984165224971E-2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AD-4948-BFE9-D91F69A31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2974584"/>
        <c:axId val="642973928"/>
      </c:barChart>
      <c:catAx>
        <c:axId val="642974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973928"/>
        <c:crosses val="autoZero"/>
        <c:auto val="1"/>
        <c:lblAlgn val="ctr"/>
        <c:lblOffset val="100"/>
        <c:noMultiLvlLbl val="0"/>
      </c:catAx>
      <c:valAx>
        <c:axId val="64297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974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Sheet1!$I$75</c:f>
              <c:strCache>
                <c:ptCount val="1"/>
                <c:pt idx="0">
                  <c:v>Lane Closed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Sheet1!$J$74:$N$74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Sheet1!$J$75:$N$75</c:f>
              <c:numCache>
                <c:formatCode>General</c:formatCode>
                <c:ptCount val="5"/>
                <c:pt idx="0">
                  <c:v>124.75</c:v>
                </c:pt>
                <c:pt idx="1">
                  <c:v>124.75</c:v>
                </c:pt>
                <c:pt idx="2">
                  <c:v>125.05</c:v>
                </c:pt>
                <c:pt idx="3">
                  <c:v>127.86</c:v>
                </c:pt>
                <c:pt idx="4">
                  <c:v>124.38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7B-4C5E-8F97-AD87B8DAA81A}"/>
            </c:ext>
          </c:extLst>
        </c:ser>
        <c:ser>
          <c:idx val="1"/>
          <c:order val="1"/>
          <c:tx>
            <c:strRef>
              <c:f>Sheet1!$I$76</c:f>
              <c:strCache>
                <c:ptCount val="1"/>
                <c:pt idx="0">
                  <c:v>Lane Opened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Sheet1!$J$74:$N$74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Sheet1!$J$76:$N$76</c:f>
              <c:numCache>
                <c:formatCode>General</c:formatCode>
                <c:ptCount val="5"/>
                <c:pt idx="0">
                  <c:v>119.86</c:v>
                </c:pt>
                <c:pt idx="1">
                  <c:v>119.86</c:v>
                </c:pt>
                <c:pt idx="2">
                  <c:v>121.12</c:v>
                </c:pt>
                <c:pt idx="3">
                  <c:v>120.86</c:v>
                </c:pt>
                <c:pt idx="4">
                  <c:v>121.55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7B-4C5E-8F97-AD87B8DAA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1350000"/>
        <c:axId val="601353280"/>
      </c:barChart>
      <c:catAx>
        <c:axId val="60135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353280"/>
        <c:crosses val="autoZero"/>
        <c:auto val="1"/>
        <c:lblAlgn val="ctr"/>
        <c:lblOffset val="100"/>
        <c:noMultiLvlLbl val="0"/>
      </c:catAx>
      <c:valAx>
        <c:axId val="60135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35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Lane Taper Length 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Sheet1!$I$97</c:f>
              <c:strCache>
                <c:ptCount val="1"/>
                <c:pt idx="0">
                  <c:v>Lane Closed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Sheet1!$J$96:$N$96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Sheet1!$J$97:$N$97</c:f>
              <c:numCache>
                <c:formatCode>General</c:formatCode>
                <c:ptCount val="5"/>
                <c:pt idx="0">
                  <c:v>1.3968241013110106E-2</c:v>
                </c:pt>
                <c:pt idx="1">
                  <c:v>4.5699771493530293E-3</c:v>
                </c:pt>
                <c:pt idx="2">
                  <c:v>1.6417732973315217E-2</c:v>
                </c:pt>
                <c:pt idx="3">
                  <c:v>3.9285960366284484E-2</c:v>
                </c:pt>
                <c:pt idx="4">
                  <c:v>1.0948747856398735E-2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5C-4B69-83BB-FCB699E5A7D6}"/>
            </c:ext>
          </c:extLst>
        </c:ser>
        <c:ser>
          <c:idx val="1"/>
          <c:order val="1"/>
          <c:tx>
            <c:strRef>
              <c:f>Sheet1!$I$98</c:f>
              <c:strCache>
                <c:ptCount val="1"/>
                <c:pt idx="0">
                  <c:v>Lane Opened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Sheet1!$J$96:$N$96</c:f>
              <c:strCache>
                <c:ptCount val="5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</c:strCache>
            </c:strRef>
          </c:cat>
          <c:val>
            <c:numRef>
              <c:f>Sheet1!$J$98:$N$98</c:f>
              <c:numCache>
                <c:formatCode>General</c:formatCode>
                <c:ptCount val="5"/>
                <c:pt idx="0">
                  <c:v>2.5794631343148449E-2</c:v>
                </c:pt>
                <c:pt idx="1">
                  <c:v>1.4570184393792276E-2</c:v>
                </c:pt>
                <c:pt idx="2">
                  <c:v>1.5500667162878951E-2</c:v>
                </c:pt>
                <c:pt idx="3">
                  <c:v>1.7690444759403789E-2</c:v>
                </c:pt>
                <c:pt idx="4">
                  <c:v>1.2023984165224971E-2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5C-4B69-83BB-FCB699E5A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2738704"/>
        <c:axId val="732739032"/>
      </c:barChart>
      <c:catAx>
        <c:axId val="73273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39032"/>
        <c:crosses val="autoZero"/>
        <c:auto val="1"/>
        <c:lblAlgn val="ctr"/>
        <c:lblOffset val="100"/>
        <c:noMultiLvlLbl val="0"/>
      </c:catAx>
      <c:valAx>
        <c:axId val="732739032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in Taper Length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in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73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133350</xdr:colOff>
      <xdr:row>36</xdr:row>
      <xdr:rowOff>57150</xdr:rowOff>
    </xdr:from>
    <xdr:to>
      <xdr:col>24</xdr:col>
      <xdr:colOff>438150</xdr:colOff>
      <xdr:row>51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8AA3C89-FA27-4C07-BE65-BA6623F285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238125</xdr:colOff>
      <xdr:row>3</xdr:row>
      <xdr:rowOff>114300</xdr:rowOff>
    </xdr:from>
    <xdr:to>
      <xdr:col>24</xdr:col>
      <xdr:colOff>542925</xdr:colOff>
      <xdr:row>18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504D883-D33C-486D-9B47-0DEA2D429D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244475</xdr:colOff>
      <xdr:row>19</xdr:row>
      <xdr:rowOff>103981</xdr:rowOff>
    </xdr:from>
    <xdr:to>
      <xdr:col>24</xdr:col>
      <xdr:colOff>549275</xdr:colOff>
      <xdr:row>34</xdr:row>
      <xdr:rowOff>84931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72CED7-6090-4253-9A25-F1DFDF8333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307975</xdr:colOff>
      <xdr:row>59</xdr:row>
      <xdr:rowOff>107950</xdr:rowOff>
    </xdr:from>
    <xdr:to>
      <xdr:col>25</xdr:col>
      <xdr:colOff>3175</xdr:colOff>
      <xdr:row>74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277774-D65B-47C7-A800-5A75112F5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498475</xdr:colOff>
      <xdr:row>74</xdr:row>
      <xdr:rowOff>127000</xdr:rowOff>
    </xdr:from>
    <xdr:to>
      <xdr:col>25</xdr:col>
      <xdr:colOff>193675</xdr:colOff>
      <xdr:row>89</xdr:row>
      <xdr:rowOff>107950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7F4C2A-D7C0-4B29-9375-8AA8995914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454025</xdr:colOff>
      <xdr:row>91</xdr:row>
      <xdr:rowOff>57150</xdr:rowOff>
    </xdr:from>
    <xdr:to>
      <xdr:col>25</xdr:col>
      <xdr:colOff>149225</xdr:colOff>
      <xdr:row>106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6D2DDAA-805C-476E-BB2D-7BCFB7FBEF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73025</xdr:colOff>
      <xdr:row>77</xdr:row>
      <xdr:rowOff>177800</xdr:rowOff>
    </xdr:from>
    <xdr:to>
      <xdr:col>13</xdr:col>
      <xdr:colOff>561975</xdr:colOff>
      <xdr:row>92</xdr:row>
      <xdr:rowOff>158750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26B2A0D-B359-441C-A195-6B68965DEC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64352</xdr:colOff>
      <xdr:row>99</xdr:row>
      <xdr:rowOff>140011</xdr:rowOff>
    </xdr:from>
    <xdr:to>
      <xdr:col>13</xdr:col>
      <xdr:colOff>553302</xdr:colOff>
      <xdr:row>114</xdr:row>
      <xdr:rowOff>120961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52CED39-FCC9-435E-9940-1D276C92F5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45A98-CD19-4CA9-AC93-0BF2B16F5903}">
  <sheetPr codeName="Sheet1"/>
  <dimension ref="A1:N98"/>
  <sheetViews>
    <sheetView tabSelected="1" topLeftCell="C76" zoomScale="205" zoomScaleNormal="205" workbookViewId="0">
      <selection activeCell="G94" sqref="G94"/>
    </sheetView>
  </sheetViews>
  <sheetFormatPr defaultRowHeight="14.5" x14ac:dyDescent="0.35"/>
  <cols>
    <col min="1" max="1" width="25.1796875" customWidth="1"/>
    <col min="2" max="2" width="19.1796875" customWidth="1"/>
    <col min="3" max="3" width="22.26953125" customWidth="1"/>
    <col min="5" max="5" width="15.54296875" customWidth="1"/>
    <col min="7" max="7" width="10.36328125" customWidth="1"/>
    <col min="8" max="8" width="8.36328125" customWidth="1"/>
    <col min="9" max="9" width="14.7265625" customWidth="1"/>
    <col min="10" max="10" width="13.453125" customWidth="1"/>
    <col min="11" max="11" width="12.81640625" customWidth="1"/>
    <col min="15" max="15" width="8.453125" customWidth="1"/>
  </cols>
  <sheetData>
    <row r="1" spans="1:12" x14ac:dyDescent="0.35">
      <c r="A1" t="s">
        <v>19</v>
      </c>
    </row>
    <row r="3" spans="1:12" x14ac:dyDescent="0.35">
      <c r="A3" t="s">
        <v>6</v>
      </c>
      <c r="B3">
        <v>0</v>
      </c>
      <c r="C3" t="s">
        <v>24</v>
      </c>
    </row>
    <row r="4" spans="1:12" x14ac:dyDescent="0.35">
      <c r="A4" t="s">
        <v>4</v>
      </c>
      <c r="B4">
        <v>41.146949089426997</v>
      </c>
      <c r="C4" t="s">
        <v>7</v>
      </c>
    </row>
    <row r="5" spans="1:12" x14ac:dyDescent="0.35">
      <c r="A5" t="s">
        <v>0</v>
      </c>
      <c r="B5">
        <v>41.147227999999998</v>
      </c>
      <c r="C5">
        <v>-104.651442</v>
      </c>
    </row>
    <row r="6" spans="1:12" x14ac:dyDescent="0.35">
      <c r="A6" t="s">
        <v>1</v>
      </c>
      <c r="B6">
        <v>41.147950999999999</v>
      </c>
      <c r="C6">
        <v>-104.64807399999999</v>
      </c>
    </row>
    <row r="7" spans="1:12" x14ac:dyDescent="0.35">
      <c r="A7" t="s">
        <v>2</v>
      </c>
      <c r="B7">
        <v>41.149419000000002</v>
      </c>
      <c r="C7">
        <v>-104.645261</v>
      </c>
    </row>
    <row r="8" spans="1:12" x14ac:dyDescent="0.35">
      <c r="A8" t="s">
        <v>3</v>
      </c>
      <c r="B8">
        <v>41.149850999999998</v>
      </c>
      <c r="C8">
        <v>-104.644749</v>
      </c>
    </row>
    <row r="9" spans="1:12" x14ac:dyDescent="0.35">
      <c r="A9" t="s">
        <v>5</v>
      </c>
      <c r="B9">
        <v>41.150429059127099</v>
      </c>
      <c r="C9">
        <v>-104.64442199311</v>
      </c>
    </row>
    <row r="11" spans="1:12" x14ac:dyDescent="0.35">
      <c r="A11" t="s">
        <v>6</v>
      </c>
      <c r="B11">
        <v>1</v>
      </c>
    </row>
    <row r="12" spans="1:12" x14ac:dyDescent="0.35">
      <c r="A12" t="s">
        <v>4</v>
      </c>
      <c r="B12">
        <v>41.14693774999995</v>
      </c>
      <c r="C12">
        <v>-104.655942583333</v>
      </c>
      <c r="E12">
        <f>getDistance(B$4, C$4, B12, C12)</f>
        <v>1.8137363202588297</v>
      </c>
      <c r="H12" t="s">
        <v>8</v>
      </c>
      <c r="I12" t="s">
        <v>9</v>
      </c>
      <c r="J12" t="s">
        <v>10</v>
      </c>
      <c r="K12" t="s">
        <v>11</v>
      </c>
      <c r="L12" t="s">
        <v>12</v>
      </c>
    </row>
    <row r="13" spans="1:12" x14ac:dyDescent="0.35">
      <c r="A13" t="s">
        <v>0</v>
      </c>
      <c r="B13">
        <v>41.147218249999952</v>
      </c>
      <c r="C13">
        <v>-104.651405333333</v>
      </c>
      <c r="E13">
        <f>getDistance(B$5, C$5, B13, C13)</f>
        <v>3.2542180611396798</v>
      </c>
      <c r="G13" t="s">
        <v>13</v>
      </c>
      <c r="H13">
        <f t="shared" ref="H13:H18" si="0">$E12</f>
        <v>1.8137363202588297</v>
      </c>
      <c r="I13">
        <f t="shared" ref="I13:I18" si="1">$E20</f>
        <v>3.2361659338493443</v>
      </c>
      <c r="J13">
        <f t="shared" ref="J13:J18" si="2">$E28</f>
        <v>1.5570546561929355</v>
      </c>
      <c r="K13">
        <f t="shared" ref="K13:K18" si="3">$E36</f>
        <v>1.8481930071683195</v>
      </c>
      <c r="L13">
        <f t="shared" ref="L13:L18" si="4">$E44</f>
        <v>2.1481405749201876</v>
      </c>
    </row>
    <row r="14" spans="1:12" x14ac:dyDescent="0.35">
      <c r="A14" t="s">
        <v>1</v>
      </c>
      <c r="B14">
        <v>41.147940749999947</v>
      </c>
      <c r="C14">
        <v>-104.64809249999951</v>
      </c>
      <c r="E14">
        <f>getDistance(B$6, C$6, B14, C14)</f>
        <v>1.9222932731508546</v>
      </c>
      <c r="G14" t="s">
        <v>14</v>
      </c>
      <c r="H14">
        <f t="shared" si="0"/>
        <v>3.2542180611396798</v>
      </c>
      <c r="I14">
        <f t="shared" si="1"/>
        <v>2.1439408822747641</v>
      </c>
      <c r="J14">
        <f t="shared" si="2"/>
        <v>2.7085691035877435</v>
      </c>
      <c r="K14">
        <f t="shared" si="3"/>
        <v>7.0935156584586156</v>
      </c>
      <c r="L14">
        <f t="shared" si="4"/>
        <v>5.4898547256818642</v>
      </c>
    </row>
    <row r="15" spans="1:12" x14ac:dyDescent="0.35">
      <c r="A15" t="s">
        <v>2</v>
      </c>
      <c r="B15">
        <v>41.149438166666656</v>
      </c>
      <c r="C15">
        <v>-104.6452376666665</v>
      </c>
      <c r="E15">
        <f>getDistance(B$7, C$7, B15, C15)</f>
        <v>2.8904641337359482</v>
      </c>
      <c r="G15" t="s">
        <v>16</v>
      </c>
      <c r="H15">
        <f t="shared" si="0"/>
        <v>1.9222932731508546</v>
      </c>
      <c r="I15">
        <f t="shared" si="1"/>
        <v>1.5248866800661176</v>
      </c>
      <c r="J15">
        <f t="shared" si="2"/>
        <v>0.18987059593200684</v>
      </c>
      <c r="K15">
        <f t="shared" si="3"/>
        <v>2.3234917192171967</v>
      </c>
      <c r="L15">
        <f t="shared" si="4"/>
        <v>3.0821092094917013</v>
      </c>
    </row>
    <row r="16" spans="1:12" x14ac:dyDescent="0.35">
      <c r="A16" t="s">
        <v>3</v>
      </c>
      <c r="B16">
        <v>41.149880249999995</v>
      </c>
      <c r="C16">
        <v>-104.644727083333</v>
      </c>
      <c r="E16">
        <f>getDistance(B$8, C$8, B16, C16)</f>
        <v>3.7339876280426676</v>
      </c>
      <c r="G16" t="s">
        <v>15</v>
      </c>
      <c r="H16">
        <f t="shared" si="0"/>
        <v>2.8904641337359482</v>
      </c>
      <c r="I16">
        <f t="shared" si="1"/>
        <v>1.4798948358960562</v>
      </c>
      <c r="J16">
        <f t="shared" si="2"/>
        <v>4.6041172656603457</v>
      </c>
      <c r="K16">
        <f t="shared" si="3"/>
        <v>1.3324804044216876</v>
      </c>
      <c r="L16">
        <f t="shared" si="4"/>
        <v>3.9062154811417837</v>
      </c>
    </row>
    <row r="17" spans="1:12" x14ac:dyDescent="0.35">
      <c r="A17" t="s">
        <v>5</v>
      </c>
      <c r="B17">
        <v>41.150445333334403</v>
      </c>
      <c r="C17">
        <v>-104.64440449999199</v>
      </c>
      <c r="E17">
        <f>getDistance(B$9, C$9, B17, C17)</f>
        <v>2.3273674380828169</v>
      </c>
      <c r="G17" t="s">
        <v>17</v>
      </c>
      <c r="H17">
        <f t="shared" si="0"/>
        <v>3.7339876280426676</v>
      </c>
      <c r="I17">
        <f t="shared" si="1"/>
        <v>1.6876067697646491</v>
      </c>
      <c r="J17">
        <f t="shared" si="2"/>
        <v>4.3078035632049261</v>
      </c>
      <c r="K17">
        <f t="shared" si="3"/>
        <v>2.0734182041344251</v>
      </c>
      <c r="L17">
        <f t="shared" si="4"/>
        <v>3.5113228812435615</v>
      </c>
    </row>
    <row r="18" spans="1:12" x14ac:dyDescent="0.35">
      <c r="G18" t="s">
        <v>18</v>
      </c>
      <c r="H18">
        <f t="shared" si="0"/>
        <v>2.3273674380828169</v>
      </c>
      <c r="I18">
        <f t="shared" si="1"/>
        <v>1.674202214928977</v>
      </c>
      <c r="J18">
        <f t="shared" si="2"/>
        <v>2.9628331571405209</v>
      </c>
      <c r="K18">
        <f t="shared" si="3"/>
        <v>2.923020669313825</v>
      </c>
      <c r="L18">
        <f t="shared" si="4"/>
        <v>2.6085621802434122</v>
      </c>
    </row>
    <row r="19" spans="1:12" x14ac:dyDescent="0.35">
      <c r="A19" t="s">
        <v>6</v>
      </c>
      <c r="B19">
        <v>2</v>
      </c>
    </row>
    <row r="20" spans="1:12" x14ac:dyDescent="0.35">
      <c r="A20" t="s">
        <v>4</v>
      </c>
      <c r="B20">
        <v>41.146934166666597</v>
      </c>
      <c r="C20">
        <v>-104.655925</v>
      </c>
      <c r="E20">
        <f>getDistance(B$4, C$4, B20, C20)</f>
        <v>3.2361659338493443</v>
      </c>
    </row>
    <row r="21" spans="1:12" x14ac:dyDescent="0.35">
      <c r="A21" t="s">
        <v>0</v>
      </c>
      <c r="B21">
        <v>41.147210333333298</v>
      </c>
      <c r="C21">
        <v>-104.651431666666</v>
      </c>
      <c r="E21">
        <f>getDistance(B$5, C$5, B21, C21)</f>
        <v>2.1439408822747641</v>
      </c>
    </row>
    <row r="22" spans="1:12" x14ac:dyDescent="0.35">
      <c r="A22" t="s">
        <v>1</v>
      </c>
      <c r="B22">
        <v>41.1479376666666</v>
      </c>
      <c r="C22">
        <v>-104.648078333333</v>
      </c>
      <c r="E22">
        <f>getDistance(B$6, C$6, B22, C22)</f>
        <v>1.5248866800661176</v>
      </c>
    </row>
    <row r="23" spans="1:12" x14ac:dyDescent="0.35">
      <c r="A23" t="s">
        <v>2</v>
      </c>
      <c r="B23">
        <v>41.149409333333303</v>
      </c>
      <c r="C23">
        <v>-104.645273166666</v>
      </c>
      <c r="E23">
        <f>getDistance(B$7, C$7, B23, C23)</f>
        <v>1.4798948358960562</v>
      </c>
    </row>
    <row r="24" spans="1:12" x14ac:dyDescent="0.35">
      <c r="A24" t="s">
        <v>3</v>
      </c>
      <c r="B24">
        <v>41.149836499999999</v>
      </c>
      <c r="C24">
        <v>-104.64475499999899</v>
      </c>
      <c r="E24">
        <f>getDistance(B$8, C$8, B24, C24)</f>
        <v>1.6876067697646491</v>
      </c>
    </row>
    <row r="25" spans="1:12" x14ac:dyDescent="0.35">
      <c r="A25" t="s">
        <v>5</v>
      </c>
      <c r="B25">
        <v>41.150435666666603</v>
      </c>
      <c r="C25">
        <v>-104.64440399999999</v>
      </c>
      <c r="E25">
        <f>getDistance(B$9, C$9, B25, C25)</f>
        <v>1.674202214928977</v>
      </c>
    </row>
    <row r="27" spans="1:12" x14ac:dyDescent="0.35">
      <c r="A27" t="s">
        <v>6</v>
      </c>
      <c r="B27">
        <v>3</v>
      </c>
    </row>
    <row r="28" spans="1:12" x14ac:dyDescent="0.35">
      <c r="A28" t="s">
        <v>4</v>
      </c>
      <c r="B28">
        <v>41.146940333333298</v>
      </c>
      <c r="C28">
        <v>-104.655943666666</v>
      </c>
      <c r="E28">
        <f>getDistance(B$4, C$4, B28, C28)</f>
        <v>1.5570546561929355</v>
      </c>
    </row>
    <row r="29" spans="1:12" x14ac:dyDescent="0.35">
      <c r="A29" t="s">
        <v>0</v>
      </c>
      <c r="B29">
        <v>41.147213833333304</v>
      </c>
      <c r="C29">
        <v>-104.651468333333</v>
      </c>
      <c r="E29">
        <f>getDistance(B$5, C$5, B29, C29)</f>
        <v>2.7085691035877435</v>
      </c>
    </row>
    <row r="30" spans="1:12" x14ac:dyDescent="0.35">
      <c r="A30" t="s">
        <v>1</v>
      </c>
      <c r="B30">
        <v>41.147952666666598</v>
      </c>
      <c r="C30">
        <v>-104.648074333333</v>
      </c>
      <c r="E30">
        <f>getDistance(B$6, C$6, B30, C30)</f>
        <v>0.18987059593200684</v>
      </c>
    </row>
    <row r="31" spans="1:12" x14ac:dyDescent="0.35">
      <c r="A31" t="s">
        <v>2</v>
      </c>
      <c r="B31">
        <v>41.149391833333297</v>
      </c>
      <c r="C31">
        <v>-104.6453025</v>
      </c>
      <c r="E31">
        <f>getDistance(B$7, C$7, B31, C31)</f>
        <v>4.6041172656603457</v>
      </c>
    </row>
    <row r="32" spans="1:12" x14ac:dyDescent="0.35">
      <c r="A32" t="s">
        <v>3</v>
      </c>
      <c r="B32">
        <v>41.149816666666602</v>
      </c>
      <c r="C32">
        <v>-104.64477283333299</v>
      </c>
      <c r="E32">
        <f>getDistance(B$8, C$8, B32, C32)</f>
        <v>4.3078035632049261</v>
      </c>
    </row>
    <row r="33" spans="1:5" x14ac:dyDescent="0.35">
      <c r="A33" t="s">
        <v>5</v>
      </c>
      <c r="B33">
        <v>41.1504481666666</v>
      </c>
      <c r="C33">
        <v>-104.644397333333</v>
      </c>
      <c r="E33">
        <f>getDistance(B$9, C$9, B33, C33)</f>
        <v>2.9628331571405209</v>
      </c>
    </row>
    <row r="35" spans="1:5" x14ac:dyDescent="0.35">
      <c r="A35" t="s">
        <v>6</v>
      </c>
      <c r="B35">
        <v>4</v>
      </c>
    </row>
    <row r="36" spans="1:5" x14ac:dyDescent="0.35">
      <c r="A36" t="s">
        <v>4</v>
      </c>
      <c r="B36">
        <v>41.146938333333303</v>
      </c>
      <c r="C36">
        <v>-104.655941333333</v>
      </c>
      <c r="E36">
        <f>getDistance(B$4, C$4, B36, C36)</f>
        <v>1.8481930071683195</v>
      </c>
    </row>
    <row r="37" spans="1:5" x14ac:dyDescent="0.35">
      <c r="A37" t="s">
        <v>0</v>
      </c>
      <c r="B37">
        <v>41.147206999999902</v>
      </c>
      <c r="C37">
        <v>-104.65152199999901</v>
      </c>
      <c r="E37">
        <f>getDistance(B$5, C$5, B37, C37)</f>
        <v>7.0935156584586156</v>
      </c>
    </row>
    <row r="38" spans="1:5" x14ac:dyDescent="0.35">
      <c r="A38" t="s">
        <v>1</v>
      </c>
      <c r="B38">
        <v>41.147949333333301</v>
      </c>
      <c r="C38">
        <v>-104.64810166666599</v>
      </c>
      <c r="E38">
        <f>getDistance(B$6, C$6, B38, C38)</f>
        <v>2.3234917192171967</v>
      </c>
    </row>
    <row r="39" spans="1:5" x14ac:dyDescent="0.35">
      <c r="A39" t="s">
        <v>2</v>
      </c>
      <c r="B39">
        <v>41.149407999999902</v>
      </c>
      <c r="C39">
        <v>-104.645267333333</v>
      </c>
      <c r="E39">
        <f>getDistance(B$7, C$7, B39, C39)</f>
        <v>1.3324804044216876</v>
      </c>
    </row>
    <row r="40" spans="1:5" x14ac:dyDescent="0.35">
      <c r="A40" t="s">
        <v>3</v>
      </c>
      <c r="B40">
        <v>41.149832500000002</v>
      </c>
      <c r="C40">
        <v>-104.644745833333</v>
      </c>
      <c r="E40">
        <f>getDistance(B$8, C$8, B40, C40)</f>
        <v>2.0734182041344251</v>
      </c>
    </row>
    <row r="41" spans="1:5" x14ac:dyDescent="0.35">
      <c r="A41" t="s">
        <v>5</v>
      </c>
      <c r="B41">
        <v>41.1504433333333</v>
      </c>
      <c r="C41">
        <v>-104.64439266666599</v>
      </c>
      <c r="E41">
        <f>getDistance(B$9, C$9, B41, C41)</f>
        <v>2.923020669313825</v>
      </c>
    </row>
    <row r="43" spans="1:5" x14ac:dyDescent="0.35">
      <c r="A43" t="s">
        <v>6</v>
      </c>
      <c r="B43">
        <v>5</v>
      </c>
    </row>
    <row r="44" spans="1:5" x14ac:dyDescent="0.35">
      <c r="A44" t="s">
        <v>4</v>
      </c>
      <c r="B44">
        <v>41.146939166666598</v>
      </c>
      <c r="C44">
        <v>-104.655936166666</v>
      </c>
      <c r="E44">
        <f>getDistance(B$4, C$4, B44, C44)</f>
        <v>2.1481405749201876</v>
      </c>
    </row>
    <row r="45" spans="1:5" x14ac:dyDescent="0.35">
      <c r="A45" t="s">
        <v>0</v>
      </c>
      <c r="B45">
        <v>41.147219833333303</v>
      </c>
      <c r="C45">
        <v>-104.65150666666599</v>
      </c>
      <c r="E45">
        <f>getDistance(B$5, C$5, B45, C45)</f>
        <v>5.4898547256818642</v>
      </c>
    </row>
    <row r="46" spans="1:5" x14ac:dyDescent="0.35">
      <c r="A46" t="s">
        <v>1</v>
      </c>
      <c r="B46">
        <v>41.147941666666597</v>
      </c>
      <c r="C46">
        <v>-104.648108666666</v>
      </c>
      <c r="E46">
        <f>getDistance(B$6, C$6, B46, C46)</f>
        <v>3.0821092094917013</v>
      </c>
    </row>
    <row r="47" spans="1:5" x14ac:dyDescent="0.35">
      <c r="A47" t="s">
        <v>2</v>
      </c>
      <c r="B47">
        <v>41.149390166666599</v>
      </c>
      <c r="C47">
        <v>-104.64528766666599</v>
      </c>
      <c r="E47">
        <f>getDistance(B$7, C$7, B47, C47)</f>
        <v>3.9062154811417837</v>
      </c>
    </row>
    <row r="48" spans="1:5" x14ac:dyDescent="0.35">
      <c r="A48" t="s">
        <v>3</v>
      </c>
      <c r="B48">
        <v>41.149819999999998</v>
      </c>
      <c r="C48">
        <v>-104.644757</v>
      </c>
      <c r="E48">
        <f>getDistance(B$8, C$8, B48, C48)</f>
        <v>3.5113228812435615</v>
      </c>
    </row>
    <row r="49" spans="1:12" x14ac:dyDescent="0.35">
      <c r="A49" t="s">
        <v>5</v>
      </c>
      <c r="B49">
        <v>41.1504403333333</v>
      </c>
      <c r="C49">
        <v>-104.644394666666</v>
      </c>
      <c r="E49">
        <f>getDistance(B$9, C$9, B49, C49)</f>
        <v>2.6085621802434122</v>
      </c>
    </row>
    <row r="52" spans="1:12" x14ac:dyDescent="0.35">
      <c r="E52">
        <f>AVERAGE(E12:E49)</f>
        <v>2.7453112409448588</v>
      </c>
    </row>
    <row r="55" spans="1:12" x14ac:dyDescent="0.35">
      <c r="A55" t="s">
        <v>20</v>
      </c>
    </row>
    <row r="56" spans="1:12" x14ac:dyDescent="0.35">
      <c r="A56" t="s">
        <v>21</v>
      </c>
      <c r="B56">
        <v>25</v>
      </c>
      <c r="C56">
        <f>B56*0.15</f>
        <v>3.75</v>
      </c>
    </row>
    <row r="57" spans="1:12" x14ac:dyDescent="0.35">
      <c r="A57" t="s">
        <v>22</v>
      </c>
      <c r="B57">
        <f>3.6*3.28084</f>
        <v>11.811024</v>
      </c>
    </row>
    <row r="58" spans="1:12" x14ac:dyDescent="0.35">
      <c r="A58" t="s">
        <v>23</v>
      </c>
      <c r="B58">
        <f>(B56^2)*B57/60</f>
        <v>123.03149999999999</v>
      </c>
    </row>
    <row r="60" spans="1:12" x14ac:dyDescent="0.35">
      <c r="A60" t="s">
        <v>6</v>
      </c>
      <c r="B60">
        <v>1</v>
      </c>
      <c r="E60" t="s">
        <v>31</v>
      </c>
      <c r="F60" t="s">
        <v>30</v>
      </c>
      <c r="G60" t="s">
        <v>29</v>
      </c>
      <c r="J60" t="s">
        <v>31</v>
      </c>
      <c r="K60" t="s">
        <v>30</v>
      </c>
      <c r="L60" t="s">
        <v>42</v>
      </c>
    </row>
    <row r="61" spans="1:12" x14ac:dyDescent="0.35">
      <c r="A61" t="s">
        <v>25</v>
      </c>
      <c r="B61">
        <v>41.14725</v>
      </c>
      <c r="C61">
        <v>-104.65141319999999</v>
      </c>
      <c r="E61">
        <f>getDistance(B62, C62, B61, C61)*3.28084</f>
        <v>124.75003364420445</v>
      </c>
      <c r="F61">
        <f>B$58-E61</f>
        <v>-1.7185336442044559</v>
      </c>
      <c r="G61">
        <f>ABS(E61-B$58)/B$58</f>
        <v>1.3968241013110106E-2</v>
      </c>
      <c r="I61" t="s">
        <v>32</v>
      </c>
      <c r="J61">
        <f>ROUND(E61, 2)</f>
        <v>124.75</v>
      </c>
      <c r="K61">
        <f>ROUND(F61, 2)</f>
        <v>-1.72</v>
      </c>
      <c r="L61">
        <f>G61</f>
        <v>1.3968241013110106E-2</v>
      </c>
    </row>
    <row r="62" spans="1:12" x14ac:dyDescent="0.35">
      <c r="A62" t="s">
        <v>26</v>
      </c>
      <c r="B62">
        <v>41.147315900000002</v>
      </c>
      <c r="C62">
        <v>-104.6509676</v>
      </c>
      <c r="I62" t="s">
        <v>34</v>
      </c>
      <c r="J62">
        <f>ROUND(E63, 2)</f>
        <v>119.86</v>
      </c>
      <c r="K62">
        <f>ROUND(F63, 2)</f>
        <v>3.17</v>
      </c>
      <c r="L62">
        <f>G63</f>
        <v>2.5794631343148449E-2</v>
      </c>
    </row>
    <row r="63" spans="1:12" x14ac:dyDescent="0.35">
      <c r="A63" t="s">
        <v>27</v>
      </c>
      <c r="B63">
        <v>41.149898700000001</v>
      </c>
      <c r="C63">
        <v>-104.6447623</v>
      </c>
      <c r="E63">
        <f>getDistance(B64, C64, B63, C63)*3.28084</f>
        <v>119.85794781390543</v>
      </c>
      <c r="F63">
        <f t="shared" ref="F62:F87" si="5">B$58-E63</f>
        <v>3.1735521860945681</v>
      </c>
      <c r="G63">
        <f>ABS(E63-B$58)/B$58</f>
        <v>2.5794631343148449E-2</v>
      </c>
      <c r="I63" t="s">
        <v>33</v>
      </c>
      <c r="J63">
        <f>ROUND(E67, 2)</f>
        <v>123.59</v>
      </c>
      <c r="K63">
        <f>ROUND(F67, 2)</f>
        <v>-0.56000000000000005</v>
      </c>
      <c r="L63">
        <f>G67</f>
        <v>4.5699771493530293E-3</v>
      </c>
    </row>
    <row r="64" spans="1:12" x14ac:dyDescent="0.35">
      <c r="A64" t="s">
        <v>28</v>
      </c>
      <c r="B64">
        <v>41.150185899999997</v>
      </c>
      <c r="C64">
        <v>-104.6445504</v>
      </c>
      <c r="I64" t="s">
        <v>35</v>
      </c>
      <c r="J64">
        <f>ROUND(E69, 2)</f>
        <v>121.24</v>
      </c>
      <c r="K64">
        <f>ROUND(F69, 2)</f>
        <v>1.79</v>
      </c>
      <c r="L64">
        <f>G69</f>
        <v>1.4570184393792276E-2</v>
      </c>
    </row>
    <row r="65" spans="1:14" x14ac:dyDescent="0.35">
      <c r="I65" t="s">
        <v>36</v>
      </c>
      <c r="J65">
        <f>ROUND(E73, 2)</f>
        <v>125.05</v>
      </c>
      <c r="K65">
        <f>ROUND(F73, 2)</f>
        <v>-2.02</v>
      </c>
      <c r="L65">
        <f>G73</f>
        <v>1.6417732973315217E-2</v>
      </c>
    </row>
    <row r="66" spans="1:14" x14ac:dyDescent="0.35">
      <c r="A66" t="s">
        <v>6</v>
      </c>
      <c r="B66">
        <v>2</v>
      </c>
      <c r="I66" t="s">
        <v>37</v>
      </c>
      <c r="J66">
        <f>ROUND(E75, 2)</f>
        <v>121.12</v>
      </c>
      <c r="K66">
        <f>ROUND(F75, 2)</f>
        <v>1.91</v>
      </c>
      <c r="L66">
        <f>G75</f>
        <v>1.5500667162878951E-2</v>
      </c>
    </row>
    <row r="67" spans="1:14" x14ac:dyDescent="0.35">
      <c r="A67" t="s">
        <v>25</v>
      </c>
      <c r="B67">
        <v>41.1472421</v>
      </c>
      <c r="C67">
        <v>-104.6514397</v>
      </c>
      <c r="E67">
        <f>getDistance(B68, C68, B67, C67)*3.28084</f>
        <v>123.59375114365062</v>
      </c>
      <c r="F67">
        <f t="shared" si="5"/>
        <v>-0.56225114365062723</v>
      </c>
      <c r="G67">
        <f>ABS(E67-B$58)/B$58</f>
        <v>4.5699771493530293E-3</v>
      </c>
      <c r="I67" t="s">
        <v>38</v>
      </c>
      <c r="J67">
        <f>ROUND(E79, 2)</f>
        <v>127.86</v>
      </c>
      <c r="K67">
        <f>ROUND(F79, 2)</f>
        <v>-4.83</v>
      </c>
      <c r="L67">
        <f>G79</f>
        <v>3.9285960366284484E-2</v>
      </c>
    </row>
    <row r="68" spans="1:14" x14ac:dyDescent="0.35">
      <c r="A68" t="s">
        <v>26</v>
      </c>
      <c r="B68">
        <v>41.147306499999999</v>
      </c>
      <c r="C68">
        <v>-104.650998</v>
      </c>
      <c r="I68" t="s">
        <v>39</v>
      </c>
      <c r="J68">
        <f>ROUND(E81, 2)</f>
        <v>120.86</v>
      </c>
      <c r="K68">
        <f>ROUND(F81, 2)</f>
        <v>2.1800000000000002</v>
      </c>
      <c r="L68">
        <f>G81</f>
        <v>1.7690444759403789E-2</v>
      </c>
    </row>
    <row r="69" spans="1:14" x14ac:dyDescent="0.35">
      <c r="A69" t="s">
        <v>27</v>
      </c>
      <c r="B69">
        <v>41.149855899999999</v>
      </c>
      <c r="C69">
        <v>-104.6447893</v>
      </c>
      <c r="E69">
        <f>getDistance(B70, C70, B69, C69)*3.28084</f>
        <v>121.23890835875514</v>
      </c>
      <c r="F69">
        <f t="shared" si="5"/>
        <v>1.7925916412448544</v>
      </c>
      <c r="G69">
        <f>ABS(E69-B$58)/B$58</f>
        <v>1.4570184393792276E-2</v>
      </c>
      <c r="I69" t="s">
        <v>40</v>
      </c>
      <c r="J69">
        <f>ROUND(E85, 2)</f>
        <v>124.38</v>
      </c>
      <c r="K69">
        <f>ROUND(F85, 2)</f>
        <v>-1.35</v>
      </c>
      <c r="L69">
        <f>G85</f>
        <v>1.0948747856398735E-2</v>
      </c>
    </row>
    <row r="70" spans="1:14" x14ac:dyDescent="0.35">
      <c r="A70" t="s">
        <v>28</v>
      </c>
      <c r="B70">
        <v>41.150141400000003</v>
      </c>
      <c r="C70">
        <v>-104.6445634</v>
      </c>
      <c r="I70" t="s">
        <v>41</v>
      </c>
      <c r="J70">
        <f>ROUND(E87, 2)</f>
        <v>121.55</v>
      </c>
      <c r="K70">
        <f>ROUND(F87, 2)</f>
        <v>1.48</v>
      </c>
      <c r="L70">
        <f>G87</f>
        <v>1.2023984165224971E-2</v>
      </c>
    </row>
    <row r="72" spans="1:14" x14ac:dyDescent="0.35">
      <c r="A72" t="s">
        <v>6</v>
      </c>
      <c r="B72">
        <v>3</v>
      </c>
    </row>
    <row r="73" spans="1:14" x14ac:dyDescent="0.35">
      <c r="A73" t="s">
        <v>25</v>
      </c>
      <c r="B73">
        <v>41.147245599999998</v>
      </c>
      <c r="C73">
        <v>-104.651476</v>
      </c>
      <c r="E73">
        <f>getDistance(B74, C74, B73, C73)*3.28084</f>
        <v>125.05139831430643</v>
      </c>
      <c r="F73">
        <f t="shared" si="5"/>
        <v>-2.0198983143064311</v>
      </c>
      <c r="G73">
        <f>ABS(E73-B$58)/B$58</f>
        <v>1.6417732973315217E-2</v>
      </c>
    </row>
    <row r="74" spans="1:14" x14ac:dyDescent="0.35">
      <c r="A74" t="s">
        <v>26</v>
      </c>
      <c r="B74">
        <v>41.1473108</v>
      </c>
      <c r="C74">
        <v>-104.6510291</v>
      </c>
      <c r="J74" t="s">
        <v>8</v>
      </c>
      <c r="K74" t="s">
        <v>9</v>
      </c>
      <c r="L74" t="s">
        <v>10</v>
      </c>
      <c r="M74" t="s">
        <v>11</v>
      </c>
      <c r="N74" t="s">
        <v>12</v>
      </c>
    </row>
    <row r="75" spans="1:14" x14ac:dyDescent="0.35">
      <c r="A75" t="s">
        <v>27</v>
      </c>
      <c r="B75">
        <v>41.149836499999999</v>
      </c>
      <c r="C75">
        <v>-104.6448067</v>
      </c>
      <c r="E75">
        <f>getDistance(B76, C76, B75, C75)*3.28084</f>
        <v>121.12442966795025</v>
      </c>
      <c r="F75">
        <f t="shared" si="5"/>
        <v>1.9070703320497415</v>
      </c>
      <c r="G75">
        <f>ABS(E75-B$58)/B$58</f>
        <v>1.5500667162878951E-2</v>
      </c>
      <c r="I75" t="s">
        <v>43</v>
      </c>
      <c r="J75">
        <f t="shared" ref="J75:J76" si="6">J61</f>
        <v>124.75</v>
      </c>
      <c r="K75">
        <f t="shared" ref="K75:K76" si="7">J61</f>
        <v>124.75</v>
      </c>
      <c r="L75">
        <f t="shared" ref="L75:L76" si="8">J65</f>
        <v>125.05</v>
      </c>
      <c r="M75">
        <f t="shared" ref="M75:M76" si="9">J67</f>
        <v>127.86</v>
      </c>
      <c r="N75">
        <f t="shared" ref="N75:N76" si="10">J69</f>
        <v>124.38</v>
      </c>
    </row>
    <row r="76" spans="1:14" x14ac:dyDescent="0.35">
      <c r="A76" t="s">
        <v>28</v>
      </c>
      <c r="B76">
        <v>41.150117999999999</v>
      </c>
      <c r="C76">
        <v>-104.6445729</v>
      </c>
      <c r="I76" t="s">
        <v>44</v>
      </c>
      <c r="J76">
        <f t="shared" si="6"/>
        <v>119.86</v>
      </c>
      <c r="K76">
        <f t="shared" si="7"/>
        <v>119.86</v>
      </c>
      <c r="L76">
        <f t="shared" si="8"/>
        <v>121.12</v>
      </c>
      <c r="M76">
        <f t="shared" si="9"/>
        <v>120.86</v>
      </c>
      <c r="N76">
        <f t="shared" si="10"/>
        <v>121.55</v>
      </c>
    </row>
    <row r="78" spans="1:14" x14ac:dyDescent="0.35">
      <c r="A78" t="s">
        <v>6</v>
      </c>
      <c r="B78">
        <v>4</v>
      </c>
    </row>
    <row r="79" spans="1:14" x14ac:dyDescent="0.35">
      <c r="A79" t="s">
        <v>25</v>
      </c>
      <c r="B79">
        <v>41.147238700000003</v>
      </c>
      <c r="C79">
        <v>-104.6515301</v>
      </c>
      <c r="E79">
        <f>getDistance(B80, C80, B79, C79)*3.28084</f>
        <v>127.86491063280452</v>
      </c>
      <c r="F79">
        <f t="shared" si="5"/>
        <v>-4.8334106328045294</v>
      </c>
      <c r="G79">
        <f>ABS(E79-B$58)/B$58</f>
        <v>3.9285960366284484E-2</v>
      </c>
    </row>
    <row r="80" spans="1:14" x14ac:dyDescent="0.35">
      <c r="A80" t="s">
        <v>26</v>
      </c>
      <c r="B80">
        <v>41.147311500000001</v>
      </c>
      <c r="C80">
        <v>-104.6510748</v>
      </c>
    </row>
    <row r="81" spans="1:14" x14ac:dyDescent="0.35">
      <c r="A81" t="s">
        <v>27</v>
      </c>
      <c r="B81">
        <v>41.149852199999998</v>
      </c>
      <c r="C81">
        <v>-104.64477979999999</v>
      </c>
      <c r="E81">
        <f>getDistance(B82, C82, B81, C81)*3.28084</f>
        <v>120.85501804558341</v>
      </c>
      <c r="F81">
        <f t="shared" si="5"/>
        <v>2.1764819544165874</v>
      </c>
      <c r="G81">
        <f>ABS(E81-B$58)/B$58</f>
        <v>1.7690444759403789E-2</v>
      </c>
    </row>
    <row r="82" spans="1:14" x14ac:dyDescent="0.35">
      <c r="A82" t="s">
        <v>28</v>
      </c>
      <c r="B82">
        <v>41.150136699999997</v>
      </c>
      <c r="C82">
        <v>-104.6445544</v>
      </c>
    </row>
    <row r="84" spans="1:14" x14ac:dyDescent="0.35">
      <c r="A84" t="s">
        <v>6</v>
      </c>
      <c r="B84">
        <v>5</v>
      </c>
    </row>
    <row r="85" spans="1:14" x14ac:dyDescent="0.35">
      <c r="A85" t="s">
        <v>25</v>
      </c>
      <c r="B85">
        <v>41.147251599999997</v>
      </c>
      <c r="C85">
        <v>-104.6515144</v>
      </c>
      <c r="E85">
        <f>getDistance(B86, C86, B85, C85)*3.28084</f>
        <v>124.37854087189451</v>
      </c>
      <c r="F85">
        <f t="shared" si="5"/>
        <v>-1.3470408718945208</v>
      </c>
      <c r="G85">
        <f>ABS(E85-B$58)/B$58</f>
        <v>1.0948747856398735E-2</v>
      </c>
    </row>
    <row r="86" spans="1:14" x14ac:dyDescent="0.35">
      <c r="A86" t="s">
        <v>26</v>
      </c>
      <c r="B86">
        <v>41.147320200000003</v>
      </c>
      <c r="C86">
        <v>-104.65107089999999</v>
      </c>
    </row>
    <row r="87" spans="1:14" x14ac:dyDescent="0.35">
      <c r="A87" t="s">
        <v>27</v>
      </c>
      <c r="B87">
        <v>41.1498402</v>
      </c>
      <c r="C87">
        <v>-104.6447905</v>
      </c>
      <c r="E87">
        <f>getDistance(B88, C88, B87, C87)*3.28084</f>
        <v>121.55217119217612</v>
      </c>
      <c r="F87">
        <f t="shared" si="5"/>
        <v>1.479328807823876</v>
      </c>
      <c r="G87">
        <f>ABS(E87-B$58)/B$58</f>
        <v>1.2023984165224971E-2</v>
      </c>
    </row>
    <row r="88" spans="1:14" x14ac:dyDescent="0.35">
      <c r="A88" t="s">
        <v>28</v>
      </c>
      <c r="B88">
        <v>41.150122799999998</v>
      </c>
      <c r="C88">
        <v>-104.6445561</v>
      </c>
    </row>
    <row r="96" spans="1:14" x14ac:dyDescent="0.35">
      <c r="J96" t="s">
        <v>8</v>
      </c>
      <c r="K96" t="s">
        <v>9</v>
      </c>
      <c r="L96" t="s">
        <v>10</v>
      </c>
      <c r="M96" t="s">
        <v>11</v>
      </c>
      <c r="N96" t="s">
        <v>12</v>
      </c>
    </row>
    <row r="97" spans="9:14" x14ac:dyDescent="0.35">
      <c r="I97" t="s">
        <v>43</v>
      </c>
      <c r="J97">
        <f>L61</f>
        <v>1.3968241013110106E-2</v>
      </c>
      <c r="K97">
        <f>L63</f>
        <v>4.5699771493530293E-3</v>
      </c>
      <c r="L97">
        <f>L65</f>
        <v>1.6417732973315217E-2</v>
      </c>
      <c r="M97">
        <f>L67</f>
        <v>3.9285960366284484E-2</v>
      </c>
      <c r="N97">
        <f>L69</f>
        <v>1.0948747856398735E-2</v>
      </c>
    </row>
    <row r="98" spans="9:14" x14ac:dyDescent="0.35">
      <c r="I98" t="s">
        <v>44</v>
      </c>
      <c r="J98">
        <f>L62</f>
        <v>2.5794631343148449E-2</v>
      </c>
      <c r="K98">
        <f>L64</f>
        <v>1.4570184393792276E-2</v>
      </c>
      <c r="L98">
        <f>L66</f>
        <v>1.5500667162878951E-2</v>
      </c>
      <c r="M98">
        <f>L68</f>
        <v>1.7690444759403789E-2</v>
      </c>
      <c r="N98">
        <f>L70</f>
        <v>1.2023984165224971E-2</v>
      </c>
    </row>
  </sheetData>
  <phoneticPr fontId="1" type="noConversion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8251D77B35B4DBB207DAEC4829EB0" ma:contentTypeVersion="13" ma:contentTypeDescription="Create a new document." ma:contentTypeScope="" ma:versionID="ee29951bec3b9e59c2e418cde3e22b81">
  <xsd:schema xmlns:xsd="http://www.w3.org/2001/XMLSchema" xmlns:xs="http://www.w3.org/2001/XMLSchema" xmlns:p="http://schemas.microsoft.com/office/2006/metadata/properties" xmlns:ns3="189d6e3f-fe2e-49c4-97ac-542c32e38783" xmlns:ns4="b8bc2096-d554-435b-aeab-27796fe2ae3e" targetNamespace="http://schemas.microsoft.com/office/2006/metadata/properties" ma:root="true" ma:fieldsID="1fe9a815bd3f6f075d44634a385b1f3c" ns3:_="" ns4:_="">
    <xsd:import namespace="189d6e3f-fe2e-49c4-97ac-542c32e38783"/>
    <xsd:import namespace="b8bc2096-d554-435b-aeab-27796fe2ae3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9d6e3f-fe2e-49c4-97ac-542c32e3878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bc2096-d554-435b-aeab-27796fe2ae3e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7EFF231-A1EB-4837-9CA5-911E7E72D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9d6e3f-fe2e-49c4-97ac-542c32e38783"/>
    <ds:schemaRef ds:uri="b8bc2096-d554-435b-aeab-27796fe2ae3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C64D86D-35FA-48F2-BFB9-9C6149B7AC6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28E6B9-FB57-48A5-8CE4-1CB4AAB65756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89d6e3f-fe2e-49c4-97ac-542c32e38783"/>
    <ds:schemaRef ds:uri="http://purl.org/dc/elements/1.1/"/>
    <ds:schemaRef ds:uri="http://schemas.microsoft.com/office/2006/metadata/properties"/>
    <ds:schemaRef ds:uri="http://schemas.microsoft.com/office/infopath/2007/PartnerControls"/>
    <ds:schemaRef ds:uri="b8bc2096-d554-435b-aeab-27796fe2ae3e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Frye</dc:creator>
  <cp:lastModifiedBy>Jacob Frye</cp:lastModifiedBy>
  <dcterms:created xsi:type="dcterms:W3CDTF">2020-06-11T22:53:05Z</dcterms:created>
  <dcterms:modified xsi:type="dcterms:W3CDTF">2020-07-02T01:33:43Z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0x010100BBD8251D77B35B4DBB207DAEC4829EB0</vt:lpwstr>
  </property>
</Properties>
</file>