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do\OneDrive\Documents\GitHub\V2X-manual-data-collection\Sample Files\Testing Data\"/>
    </mc:Choice>
  </mc:AlternateContent>
  <xr:revisionPtr revIDLastSave="0" documentId="8_{96AD3FF8-5FA3-461E-8F13-49FDE6C72DF6}" xr6:coauthVersionLast="44" xr6:coauthVersionMax="44" xr10:uidLastSave="{00000000-0000-0000-0000-000000000000}"/>
  <bookViews>
    <workbookView xWindow="9040" yWindow="3230" windowWidth="25580" windowHeight="13800" xr2:uid="{6B240394-4D63-46FD-9150-D2F0DB46062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1" l="1"/>
  <c r="E36" i="1"/>
  <c r="E28" i="1"/>
  <c r="E31" i="1"/>
  <c r="E26" i="1"/>
  <c r="E21" i="1"/>
  <c r="E19" i="1"/>
  <c r="E23" i="1"/>
  <c r="E39" i="1"/>
  <c r="E42" i="1"/>
  <c r="E20" i="1"/>
  <c r="E34" i="1"/>
  <c r="E30" i="1"/>
  <c r="E38" i="1"/>
  <c r="E22" i="1"/>
  <c r="E35" i="1"/>
  <c r="E29" i="1"/>
  <c r="E18" i="1"/>
  <c r="E27" i="1"/>
  <c r="E45" i="1"/>
  <c r="E44" i="1"/>
  <c r="E46" i="1"/>
  <c r="E43" i="1"/>
  <c r="E37" i="1"/>
  <c r="E15" i="1"/>
  <c r="E14" i="1"/>
  <c r="E13" i="1"/>
  <c r="E12" i="1"/>
  <c r="E11" i="1"/>
  <c r="E10" i="1"/>
  <c r="E50" i="1" l="1"/>
  <c r="H13" i="1"/>
  <c r="J12" i="1"/>
  <c r="K12" i="1"/>
  <c r="L11" i="1"/>
  <c r="K16" i="1"/>
  <c r="I14" i="1"/>
  <c r="H16" i="1"/>
  <c r="J13" i="1"/>
  <c r="K11" i="1"/>
  <c r="L15" i="1"/>
  <c r="I11" i="1"/>
  <c r="I13" i="1"/>
  <c r="H14" i="1"/>
  <c r="K15" i="1"/>
  <c r="H15" i="1"/>
  <c r="I16" i="1"/>
  <c r="J11" i="1"/>
  <c r="K13" i="1"/>
  <c r="K14" i="1"/>
  <c r="L13" i="1"/>
  <c r="J14" i="1"/>
  <c r="H12" i="1"/>
  <c r="I15" i="1"/>
  <c r="J15" i="1"/>
  <c r="H11" i="1"/>
  <c r="I12" i="1"/>
  <c r="J16" i="1"/>
  <c r="L16" i="1"/>
  <c r="L12" i="1"/>
  <c r="L14" i="1"/>
</calcChain>
</file>

<file path=xl/sharedStrings.xml><?xml version="1.0" encoding="utf-8"?>
<sst xmlns="http://schemas.openxmlformats.org/spreadsheetml/2006/main" count="54" uniqueCount="19">
  <si>
    <t>LC 1</t>
  </si>
  <si>
    <t>WP</t>
  </si>
  <si>
    <t>WNP</t>
  </si>
  <si>
    <t>LO1</t>
  </si>
  <si>
    <t>BEGIN</t>
  </si>
  <si>
    <t>END</t>
  </si>
  <si>
    <t>Test #</t>
  </si>
  <si>
    <t> -104.655958174084</t>
  </si>
  <si>
    <t>Test 1</t>
  </si>
  <si>
    <t>Test 2</t>
  </si>
  <si>
    <t>Test 3</t>
  </si>
  <si>
    <t>Test 4</t>
  </si>
  <si>
    <t>Test 5</t>
  </si>
  <si>
    <t>Begin WZ</t>
  </si>
  <si>
    <t>Begin LC</t>
  </si>
  <si>
    <t>End WP</t>
  </si>
  <si>
    <t>Begin WP</t>
  </si>
  <si>
    <t>End LC</t>
  </si>
  <si>
    <t>End 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</si>
</sst>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Sheet1!$E$1:$E$9</c:f>
              <c:strCache>
                <c:ptCount val="9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Sheet1!$E$10:$E$47</c:f>
              <c:numCache>
                <c:formatCode>General</c:formatCode>
                <c:ptCount val="38"/>
                <c:pt idx="0">
                  <c:v>1.8137363202588297</c:v>
                </c:pt>
                <c:pt idx="1">
                  <c:v>3.2542180611396798</c:v>
                </c:pt>
                <c:pt idx="2">
                  <c:v>1.9222932731508546</c:v>
                </c:pt>
                <c:pt idx="3">
                  <c:v>2.8904641337359482</c:v>
                </c:pt>
                <c:pt idx="4">
                  <c:v>3.7339876280426676</c:v>
                </c:pt>
                <c:pt idx="5">
                  <c:v>2.3273674380828169</c:v>
                </c:pt>
                <c:pt idx="8">
                  <c:v>3.2361659338493443</c:v>
                </c:pt>
                <c:pt idx="9">
                  <c:v>2.1439408822747641</c:v>
                </c:pt>
                <c:pt idx="10">
                  <c:v>1.5248866800661176</c:v>
                </c:pt>
                <c:pt idx="11">
                  <c:v>1.4798948358960562</c:v>
                </c:pt>
                <c:pt idx="12">
                  <c:v>1.6876067697646491</c:v>
                </c:pt>
                <c:pt idx="13">
                  <c:v>1.674202214928977</c:v>
                </c:pt>
                <c:pt idx="16">
                  <c:v>1.5570546561929355</c:v>
                </c:pt>
                <c:pt idx="17">
                  <c:v>2.7085691035877435</c:v>
                </c:pt>
                <c:pt idx="18">
                  <c:v>0.18987059593200684</c:v>
                </c:pt>
                <c:pt idx="19">
                  <c:v>4.6041172656603457</c:v>
                </c:pt>
                <c:pt idx="20">
                  <c:v>4.3078035632049261</c:v>
                </c:pt>
                <c:pt idx="21">
                  <c:v>2.9628331571405209</c:v>
                </c:pt>
                <c:pt idx="24">
                  <c:v>1.8481930071683195</c:v>
                </c:pt>
                <c:pt idx="25">
                  <c:v>7.0935156584586156</c:v>
                </c:pt>
                <c:pt idx="26">
                  <c:v>2.3234917192171967</c:v>
                </c:pt>
                <c:pt idx="27">
                  <c:v>1.3324804044216876</c:v>
                </c:pt>
                <c:pt idx="28">
                  <c:v>2.0734182041344251</c:v>
                </c:pt>
                <c:pt idx="29">
                  <c:v>2.923020669313825</c:v>
                </c:pt>
                <c:pt idx="32">
                  <c:v>2.1481405749201876</c:v>
                </c:pt>
                <c:pt idx="33">
                  <c:v>5.4898547256818642</c:v>
                </c:pt>
                <c:pt idx="34">
                  <c:v>3.0821092094917013</c:v>
                </c:pt>
                <c:pt idx="35">
                  <c:v>3.9062154811417837</c:v>
                </c:pt>
                <c:pt idx="36">
                  <c:v>3.5113228812435615</c:v>
                </c:pt>
                <c:pt idx="37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8-42DB-A172-E5E5CE261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944536"/>
        <c:axId val="732654448"/>
      </c:barChart>
      <c:catAx>
        <c:axId val="573944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54448"/>
        <c:crosses val="autoZero"/>
        <c:auto val="1"/>
        <c:lblAlgn val="ctr"/>
        <c:lblOffset val="100"/>
        <c:noMultiLvlLbl val="0"/>
      </c:catAx>
      <c:valAx>
        <c:axId val="73265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Sheet1!$H$10</c:f>
              <c:strCache>
                <c:ptCount val="1"/>
                <c:pt idx="0">
                  <c:v>Test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Sheet1!$H$11:$H$16</c:f>
              <c:numCache>
                <c:formatCode>General</c:formatCode>
                <c:ptCount val="6"/>
                <c:pt idx="0">
                  <c:v>1.8137363202588297</c:v>
                </c:pt>
                <c:pt idx="1">
                  <c:v>3.2542180611396798</c:v>
                </c:pt>
                <c:pt idx="2">
                  <c:v>1.9222932731508546</c:v>
                </c:pt>
                <c:pt idx="3">
                  <c:v>2.8904641337359482</c:v>
                </c:pt>
                <c:pt idx="4">
                  <c:v>3.7339876280426676</c:v>
                </c:pt>
                <c:pt idx="5">
                  <c:v>2.3273674380828169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C-4251-8EFB-11AA3467F50E}"/>
            </c:ext>
          </c:extLst>
        </c:ser>
        <c:ser>
          <c:idx val="1"/>
          <c:order val="1"/>
          <c:tx>
            <c:strRef>
              <c:f>Sheet1!$I$10</c:f>
              <c:strCache>
                <c:ptCount val="1"/>
                <c:pt idx="0">
                  <c:v>Test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Sheet1!$I$11:$I$16</c:f>
              <c:numCache>
                <c:formatCode>General</c:formatCode>
                <c:ptCount val="6"/>
                <c:pt idx="0">
                  <c:v>3.2361659338493443</c:v>
                </c:pt>
                <c:pt idx="1">
                  <c:v>2.1439408822747641</c:v>
                </c:pt>
                <c:pt idx="2">
                  <c:v>1.5248866800661176</c:v>
                </c:pt>
                <c:pt idx="3">
                  <c:v>1.4798948358960562</c:v>
                </c:pt>
                <c:pt idx="4">
                  <c:v>1.6876067697646491</c:v>
                </c:pt>
                <c:pt idx="5">
                  <c:v>1.674202214928977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C-4251-8EFB-11AA3467F50E}"/>
            </c:ext>
          </c:extLst>
        </c:ser>
        <c:ser>
          <c:idx val="2"/>
          <c:order val="2"/>
          <c:tx>
            <c:strRef>
              <c:f>Sheet1!$J$10</c:f>
              <c:strCache>
                <c:ptCount val="1"/>
                <c:pt idx="0">
                  <c:v>Test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Sheet1!$J$11:$J$16</c:f>
              <c:numCache>
                <c:formatCode>General</c:formatCode>
                <c:ptCount val="6"/>
                <c:pt idx="0">
                  <c:v>1.5570546561929355</c:v>
                </c:pt>
                <c:pt idx="1">
                  <c:v>2.7085691035877435</c:v>
                </c:pt>
                <c:pt idx="2">
                  <c:v>0.18987059593200684</c:v>
                </c:pt>
                <c:pt idx="3">
                  <c:v>4.6041172656603457</c:v>
                </c:pt>
                <c:pt idx="4">
                  <c:v>4.3078035632049261</c:v>
                </c:pt>
                <c:pt idx="5">
                  <c:v>2.9628331571405209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C-4251-8EFB-11AA3467F50E}"/>
            </c:ext>
          </c:extLst>
        </c:ser>
        <c:ser>
          <c:idx val="3"/>
          <c:order val="3"/>
          <c:tx>
            <c:strRef>
              <c:f>Sheet1!$K$10</c:f>
              <c:strCache>
                <c:ptCount val="1"/>
                <c:pt idx="0">
                  <c:v>Test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Sheet1!$K$11:$K$16</c:f>
              <c:numCache>
                <c:formatCode>General</c:formatCode>
                <c:ptCount val="6"/>
                <c:pt idx="0">
                  <c:v>1.8481930071683195</c:v>
                </c:pt>
                <c:pt idx="1">
                  <c:v>7.0935156584586156</c:v>
                </c:pt>
                <c:pt idx="2">
                  <c:v>2.3234917192171967</c:v>
                </c:pt>
                <c:pt idx="3">
                  <c:v>1.3324804044216876</c:v>
                </c:pt>
                <c:pt idx="4">
                  <c:v>2.0734182041344251</c:v>
                </c:pt>
                <c:pt idx="5">
                  <c:v>2.923020669313825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C-4251-8EFB-11AA3467F50E}"/>
            </c:ext>
          </c:extLst>
        </c:ser>
        <c:ser>
          <c:idx val="4"/>
          <c:order val="4"/>
          <c:tx>
            <c:strRef>
              <c:f>Sheet1!$L$10</c:f>
              <c:strCache>
                <c:ptCount val="1"/>
                <c:pt idx="0">
                  <c:v>Test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Sheet1!$G$11:$G$16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Sheet1!$L$11:$L$16</c:f>
              <c:numCache>
                <c:formatCode>General</c:formatCode>
                <c:ptCount val="6"/>
                <c:pt idx="0">
                  <c:v>2.1481405749201876</c:v>
                </c:pt>
                <c:pt idx="1">
                  <c:v>5.4898547256818642</c:v>
                </c:pt>
                <c:pt idx="2">
                  <c:v>3.0821092094917013</c:v>
                </c:pt>
                <c:pt idx="3">
                  <c:v>3.9062154811417837</c:v>
                </c:pt>
                <c:pt idx="4">
                  <c:v>3.5113228812435615</c:v>
                </c:pt>
                <c:pt idx="5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C-4251-8EFB-11AA3467F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05632"/>
        <c:axId val="448806288"/>
      </c:barChart>
      <c:catAx>
        <c:axId val="44880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06288"/>
        <c:crosses val="autoZero"/>
        <c:auto val="1"/>
        <c:lblAlgn val="ctr"/>
        <c:lblOffset val="100"/>
        <c:noMultiLvlLbl val="0"/>
      </c:catAx>
      <c:valAx>
        <c:axId val="4488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0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 Testing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Sheet1!$G$11</c:f>
              <c:strCache>
                <c:ptCount val="1"/>
                <c:pt idx="0">
                  <c:v>Begin WZ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Sheet1!$H$11:$L$11</c:f>
              <c:numCache>
                <c:formatCode>General</c:formatCode>
                <c:ptCount val="5"/>
                <c:pt idx="0">
                  <c:v>1.8137363202588297</c:v>
                </c:pt>
                <c:pt idx="1">
                  <c:v>3.2361659338493443</c:v>
                </c:pt>
                <c:pt idx="2">
                  <c:v>1.5570546561929355</c:v>
                </c:pt>
                <c:pt idx="3">
                  <c:v>1.8481930071683195</c:v>
                </c:pt>
                <c:pt idx="4">
                  <c:v>2.1481405749201876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4-4E65-B157-3582BCD1330A}"/>
            </c:ext>
          </c:extLst>
        </c:ser>
        <c:ser>
          <c:idx val="1"/>
          <c:order val="1"/>
          <c:tx>
            <c:strRef>
              <c:f>Sheet1!$G$12</c:f>
              <c:strCache>
                <c:ptCount val="1"/>
                <c:pt idx="0">
                  <c:v>Begin LC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Sheet1!$H$12:$L$12</c:f>
              <c:numCache>
                <c:formatCode>General</c:formatCode>
                <c:ptCount val="5"/>
                <c:pt idx="0">
                  <c:v>3.2542180611396798</c:v>
                </c:pt>
                <c:pt idx="1">
                  <c:v>2.1439408822747641</c:v>
                </c:pt>
                <c:pt idx="2">
                  <c:v>2.7085691035877435</c:v>
                </c:pt>
                <c:pt idx="3">
                  <c:v>7.0935156584586156</c:v>
                </c:pt>
                <c:pt idx="4">
                  <c:v>5.4898547256818642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4-4E65-B157-3582BCD1330A}"/>
            </c:ext>
          </c:extLst>
        </c:ser>
        <c:ser>
          <c:idx val="2"/>
          <c:order val="2"/>
          <c:tx>
            <c:strRef>
              <c:f>Sheet1!$G$13</c:f>
              <c:strCache>
                <c:ptCount val="1"/>
                <c:pt idx="0">
                  <c:v>Begin WP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Sheet1!$H$13:$L$13</c:f>
              <c:numCache>
                <c:formatCode>General</c:formatCode>
                <c:ptCount val="5"/>
                <c:pt idx="0">
                  <c:v>1.9222932731508546</c:v>
                </c:pt>
                <c:pt idx="1">
                  <c:v>1.5248866800661176</c:v>
                </c:pt>
                <c:pt idx="2">
                  <c:v>0.18987059593200684</c:v>
                </c:pt>
                <c:pt idx="3">
                  <c:v>2.3234917192171967</c:v>
                </c:pt>
                <c:pt idx="4">
                  <c:v>3.0821092094917013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F4-4E65-B157-3582BCD1330A}"/>
            </c:ext>
          </c:extLst>
        </c:ser>
        <c:ser>
          <c:idx val="3"/>
          <c:order val="3"/>
          <c:tx>
            <c:strRef>
              <c:f>Sheet1!$G$14</c:f>
              <c:strCache>
                <c:ptCount val="1"/>
                <c:pt idx="0">
                  <c:v>End WP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Sheet1!$H$14:$L$14</c:f>
              <c:numCache>
                <c:formatCode>General</c:formatCode>
                <c:ptCount val="5"/>
                <c:pt idx="0">
                  <c:v>2.8904641337359482</c:v>
                </c:pt>
                <c:pt idx="1">
                  <c:v>1.4798948358960562</c:v>
                </c:pt>
                <c:pt idx="2">
                  <c:v>4.6041172656603457</c:v>
                </c:pt>
                <c:pt idx="3">
                  <c:v>1.3324804044216876</c:v>
                </c:pt>
                <c:pt idx="4">
                  <c:v>3.9062154811417837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F4-4E65-B157-3582BCD1330A}"/>
            </c:ext>
          </c:extLst>
        </c:ser>
        <c:ser>
          <c:idx val="4"/>
          <c:order val="4"/>
          <c:tx>
            <c:strRef>
              <c:f>Sheet1!$G$15</c:f>
              <c:strCache>
                <c:ptCount val="1"/>
                <c:pt idx="0">
                  <c:v>End LC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Sheet1!$H$15:$L$15</c:f>
              <c:numCache>
                <c:formatCode>General</c:formatCode>
                <c:ptCount val="5"/>
                <c:pt idx="0">
                  <c:v>3.7339876280426676</c:v>
                </c:pt>
                <c:pt idx="1">
                  <c:v>1.6876067697646491</c:v>
                </c:pt>
                <c:pt idx="2">
                  <c:v>4.3078035632049261</c:v>
                </c:pt>
                <c:pt idx="3">
                  <c:v>2.0734182041344251</c:v>
                </c:pt>
                <c:pt idx="4">
                  <c:v>3.5113228812435615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F4-4E65-B157-3582BCD1330A}"/>
            </c:ext>
          </c:extLst>
        </c:ser>
        <c:ser>
          <c:idx val="5"/>
          <c:order val="5"/>
          <c:tx>
            <c:strRef>
              <c:f>Sheet1!$G$16</c:f>
              <c:strCache>
                <c:ptCount val="1"/>
                <c:pt idx="0">
                  <c:v>End WZ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Sheet1!$H$10:$L$10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Sheet1!$H$16:$L$16</c:f>
              <c:numCache>
                <c:formatCode>General</c:formatCode>
                <c:ptCount val="5"/>
                <c:pt idx="0">
                  <c:v>2.3273674380828169</c:v>
                </c:pt>
                <c:pt idx="1">
                  <c:v>1.674202214928977</c:v>
                </c:pt>
                <c:pt idx="2">
                  <c:v>2.9628331571405209</c:v>
                </c:pt>
                <c:pt idx="3">
                  <c:v>2.923020669313825</c:v>
                </c:pt>
                <c:pt idx="4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F4-4E65-B157-3582BCD13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3587648"/>
        <c:axId val="843584696"/>
      </c:barChart>
      <c:catAx>
        <c:axId val="8435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84696"/>
        <c:crosses val="autoZero"/>
        <c:auto val="1"/>
        <c:lblAlgn val="ctr"/>
        <c:lblOffset val="100"/>
        <c:noMultiLvlLbl val="0"/>
      </c:catAx>
      <c:valAx>
        <c:axId val="84358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Distance</a:t>
                </a:r>
              </a:p>
            </c:rich>
          </c:tx>
          <c:layout>
            <c:manualLayout>
              <c:xMode val="edge"/>
              <c:yMode val="edge"/>
              <c:x val="3.0481465327169548E-2"/>
              <c:y val="0.38008529128071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133350</xdr:colOff>
      <xdr:row>34</xdr:row>
      <xdr:rowOff>57150</xdr:rowOff>
    </xdr:from>
    <xdr:to>
      <xdr:col>24</xdr:col>
      <xdr:colOff>438150</xdr:colOff>
      <xdr:row>49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AA3C89-FA27-4C07-BE65-BA6623F28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238125</xdr:colOff>
      <xdr:row>1</xdr:row>
      <xdr:rowOff>114300</xdr:rowOff>
    </xdr:from>
    <xdr:to>
      <xdr:col>24</xdr:col>
      <xdr:colOff>542925</xdr:colOff>
      <xdr:row>16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04D883-D33C-486D-9B47-0DEA2D429D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244475</xdr:colOff>
      <xdr:row>17</xdr:row>
      <xdr:rowOff>103981</xdr:rowOff>
    </xdr:from>
    <xdr:to>
      <xdr:col>24</xdr:col>
      <xdr:colOff>549275</xdr:colOff>
      <xdr:row>32</xdr:row>
      <xdr:rowOff>84931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72CED7-6090-4253-9A25-F1DFDF83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5A98-CD19-4CA9-AC93-0BF2B16F5903}">
  <sheetPr codeName="Sheet1"/>
  <dimension ref="A1:L50"/>
  <sheetViews>
    <sheetView tabSelected="1" zoomScaleNormal="100" workbookViewId="0">
      <selection activeCell="G19" sqref="G19"/>
    </sheetView>
  </sheetViews>
  <sheetFormatPr defaultRowHeight="14.5" x14ac:dyDescent="0.35"/>
  <cols>
    <col min="2" max="2" width="15.453125" customWidth="1"/>
    <col min="3" max="3" width="17.453125" customWidth="1"/>
    <col min="7" max="7" width="10.36328125" customWidth="1"/>
    <col min="8" max="8" width="8.36328125" customWidth="1"/>
    <col min="15" max="15" width="8.453125" customWidth="1"/>
  </cols>
  <sheetData>
    <row r="1" spans="1:12" x14ac:dyDescent="0.35">
      <c r="A1" t="s">
        <v>6</v>
      </c>
      <c r="B1">
        <v>0</v>
      </c>
    </row>
    <row r="2" spans="1:12" x14ac:dyDescent="0.35">
      <c r="A2" t="s">
        <v>4</v>
      </c>
      <c r="B2">
        <v>41.146949089426997</v>
      </c>
      <c r="C2" t="s">
        <v>7</v>
      </c>
    </row>
    <row r="3" spans="1:12" x14ac:dyDescent="0.35">
      <c r="A3" t="s">
        <v>0</v>
      </c>
      <c r="B3">
        <v>41.147227999999998</v>
      </c>
      <c r="C3">
        <v>-104.651442</v>
      </c>
    </row>
    <row r="4" spans="1:12" x14ac:dyDescent="0.35">
      <c r="A4" t="s">
        <v>1</v>
      </c>
      <c r="B4">
        <v>41.147950999999999</v>
      </c>
      <c r="C4">
        <v>-104.64807399999999</v>
      </c>
    </row>
    <row r="5" spans="1:12" x14ac:dyDescent="0.35">
      <c r="A5" t="s">
        <v>2</v>
      </c>
      <c r="B5">
        <v>41.149419000000002</v>
      </c>
      <c r="C5">
        <v>-104.645261</v>
      </c>
    </row>
    <row r="6" spans="1:12" x14ac:dyDescent="0.35">
      <c r="A6" t="s">
        <v>3</v>
      </c>
      <c r="B6">
        <v>41.149850999999998</v>
      </c>
      <c r="C6">
        <v>-104.644749</v>
      </c>
    </row>
    <row r="7" spans="1:12" x14ac:dyDescent="0.35">
      <c r="A7" t="s">
        <v>5</v>
      </c>
      <c r="B7">
        <v>41.150429059127099</v>
      </c>
      <c r="C7">
        <v>-104.64442199311</v>
      </c>
    </row>
    <row r="9" spans="1:12" x14ac:dyDescent="0.35">
      <c r="A9" t="s">
        <v>6</v>
      </c>
      <c r="B9">
        <v>1</v>
      </c>
    </row>
    <row r="10" spans="1:12" x14ac:dyDescent="0.35">
      <c r="A10" t="s">
        <v>4</v>
      </c>
      <c r="B10">
        <v>41.14693774999995</v>
      </c>
      <c r="C10">
        <v>-104.655942583333</v>
      </c>
      <c r="E10">
        <f>getDistance(B$2, C$2, B10, C10)</f>
        <v>1.8137363202588297</v>
      </c>
      <c r="H10" t="s">
        <v>8</v>
      </c>
      <c r="I10" t="s">
        <v>9</v>
      </c>
      <c r="J10" t="s">
        <v>10</v>
      </c>
      <c r="K10" t="s">
        <v>11</v>
      </c>
      <c r="L10" t="s">
        <v>12</v>
      </c>
    </row>
    <row r="11" spans="1:12" x14ac:dyDescent="0.35">
      <c r="A11" t="s">
        <v>0</v>
      </c>
      <c r="B11">
        <v>41.147218249999952</v>
      </c>
      <c r="C11">
        <v>-104.651405333333</v>
      </c>
      <c r="E11">
        <f>getDistance(B$3, C$3, B11, C11)</f>
        <v>3.2542180611396798</v>
      </c>
      <c r="G11" t="s">
        <v>13</v>
      </c>
      <c r="H11">
        <f t="shared" ref="H11:H16" si="0">$E10</f>
        <v>1.8137363202588297</v>
      </c>
      <c r="I11">
        <f t="shared" ref="I11:I16" si="1">$E18</f>
        <v>3.2361659338493443</v>
      </c>
      <c r="J11">
        <f t="shared" ref="J11:J16" si="2">$E26</f>
        <v>1.5570546561929355</v>
      </c>
      <c r="K11">
        <f t="shared" ref="K11:K16" si="3">$E34</f>
        <v>1.8481930071683195</v>
      </c>
      <c r="L11">
        <f t="shared" ref="L11:L16" si="4">$E42</f>
        <v>2.1481405749201876</v>
      </c>
    </row>
    <row r="12" spans="1:12" x14ac:dyDescent="0.35">
      <c r="A12" t="s">
        <v>1</v>
      </c>
      <c r="B12">
        <v>41.147940749999947</v>
      </c>
      <c r="C12">
        <v>-104.64809249999951</v>
      </c>
      <c r="E12">
        <f>getDistance(B$4, C$4, B12, C12)</f>
        <v>1.9222932731508546</v>
      </c>
      <c r="G12" t="s">
        <v>14</v>
      </c>
      <c r="H12">
        <f t="shared" si="0"/>
        <v>3.2542180611396798</v>
      </c>
      <c r="I12">
        <f t="shared" si="1"/>
        <v>2.1439408822747641</v>
      </c>
      <c r="J12">
        <f t="shared" si="2"/>
        <v>2.7085691035877435</v>
      </c>
      <c r="K12">
        <f t="shared" si="3"/>
        <v>7.0935156584586156</v>
      </c>
      <c r="L12">
        <f t="shared" si="4"/>
        <v>5.4898547256818642</v>
      </c>
    </row>
    <row r="13" spans="1:12" x14ac:dyDescent="0.35">
      <c r="A13" t="s">
        <v>2</v>
      </c>
      <c r="B13">
        <v>41.149438166666656</v>
      </c>
      <c r="C13">
        <v>-104.6452376666665</v>
      </c>
      <c r="E13">
        <f>getDistance(B$5, C$5, B13, C13)</f>
        <v>2.8904641337359482</v>
      </c>
      <c r="G13" t="s">
        <v>16</v>
      </c>
      <c r="H13">
        <f t="shared" si="0"/>
        <v>1.9222932731508546</v>
      </c>
      <c r="I13">
        <f t="shared" si="1"/>
        <v>1.5248866800661176</v>
      </c>
      <c r="J13">
        <f t="shared" si="2"/>
        <v>0.18987059593200684</v>
      </c>
      <c r="K13">
        <f t="shared" si="3"/>
        <v>2.3234917192171967</v>
      </c>
      <c r="L13">
        <f t="shared" si="4"/>
        <v>3.0821092094917013</v>
      </c>
    </row>
    <row r="14" spans="1:12" x14ac:dyDescent="0.35">
      <c r="A14" t="s">
        <v>3</v>
      </c>
      <c r="B14">
        <v>41.149880249999995</v>
      </c>
      <c r="C14">
        <v>-104.644727083333</v>
      </c>
      <c r="E14">
        <f>getDistance(B$6, C$6, B14, C14)</f>
        <v>3.7339876280426676</v>
      </c>
      <c r="G14" t="s">
        <v>15</v>
      </c>
      <c r="H14">
        <f t="shared" si="0"/>
        <v>2.8904641337359482</v>
      </c>
      <c r="I14">
        <f t="shared" si="1"/>
        <v>1.4798948358960562</v>
      </c>
      <c r="J14">
        <f t="shared" si="2"/>
        <v>4.6041172656603457</v>
      </c>
      <c r="K14">
        <f t="shared" si="3"/>
        <v>1.3324804044216876</v>
      </c>
      <c r="L14">
        <f t="shared" si="4"/>
        <v>3.9062154811417837</v>
      </c>
    </row>
    <row r="15" spans="1:12" x14ac:dyDescent="0.35">
      <c r="A15" t="s">
        <v>5</v>
      </c>
      <c r="B15">
        <v>41.150445333334403</v>
      </c>
      <c r="C15">
        <v>-104.64440449999199</v>
      </c>
      <c r="E15">
        <f>getDistance(B$7, C$7, B15, C15)</f>
        <v>2.3273674380828169</v>
      </c>
      <c r="G15" t="s">
        <v>17</v>
      </c>
      <c r="H15">
        <f t="shared" si="0"/>
        <v>3.7339876280426676</v>
      </c>
      <c r="I15">
        <f t="shared" si="1"/>
        <v>1.6876067697646491</v>
      </c>
      <c r="J15">
        <f t="shared" si="2"/>
        <v>4.3078035632049261</v>
      </c>
      <c r="K15">
        <f t="shared" si="3"/>
        <v>2.0734182041344251</v>
      </c>
      <c r="L15">
        <f t="shared" si="4"/>
        <v>3.5113228812435615</v>
      </c>
    </row>
    <row r="16" spans="1:12" x14ac:dyDescent="0.35">
      <c r="G16" t="s">
        <v>18</v>
      </c>
      <c r="H16">
        <f t="shared" si="0"/>
        <v>2.3273674380828169</v>
      </c>
      <c r="I16">
        <f t="shared" si="1"/>
        <v>1.674202214928977</v>
      </c>
      <c r="J16">
        <f t="shared" si="2"/>
        <v>2.9628331571405209</v>
      </c>
      <c r="K16">
        <f t="shared" si="3"/>
        <v>2.923020669313825</v>
      </c>
      <c r="L16">
        <f t="shared" si="4"/>
        <v>2.6085621802434122</v>
      </c>
    </row>
    <row r="17" spans="1:5" x14ac:dyDescent="0.35">
      <c r="A17" t="s">
        <v>6</v>
      </c>
      <c r="B17">
        <v>2</v>
      </c>
    </row>
    <row r="18" spans="1:5" x14ac:dyDescent="0.35">
      <c r="A18" t="s">
        <v>4</v>
      </c>
      <c r="B18">
        <v>41.146934166666597</v>
      </c>
      <c r="C18">
        <v>-104.655925</v>
      </c>
      <c r="E18">
        <f>getDistance(B$2, C$2, B18, C18)</f>
        <v>3.2361659338493443</v>
      </c>
    </row>
    <row r="19" spans="1:5" x14ac:dyDescent="0.35">
      <c r="A19" t="s">
        <v>0</v>
      </c>
      <c r="B19">
        <v>41.147210333333298</v>
      </c>
      <c r="C19">
        <v>-104.651431666666</v>
      </c>
      <c r="E19">
        <f>getDistance(B$3, C$3, B19, C19)</f>
        <v>2.1439408822747641</v>
      </c>
    </row>
    <row r="20" spans="1:5" x14ac:dyDescent="0.35">
      <c r="A20" t="s">
        <v>1</v>
      </c>
      <c r="B20">
        <v>41.1479376666666</v>
      </c>
      <c r="C20">
        <v>-104.648078333333</v>
      </c>
      <c r="E20">
        <f>getDistance(B$4, C$4, B20, C20)</f>
        <v>1.5248866800661176</v>
      </c>
    </row>
    <row r="21" spans="1:5" x14ac:dyDescent="0.35">
      <c r="A21" t="s">
        <v>2</v>
      </c>
      <c r="B21">
        <v>41.149409333333303</v>
      </c>
      <c r="C21">
        <v>-104.645273166666</v>
      </c>
      <c r="E21">
        <f>getDistance(B$5, C$5, B21, C21)</f>
        <v>1.4798948358960562</v>
      </c>
    </row>
    <row r="22" spans="1:5" x14ac:dyDescent="0.35">
      <c r="A22" t="s">
        <v>3</v>
      </c>
      <c r="B22">
        <v>41.149836499999999</v>
      </c>
      <c r="C22">
        <v>-104.64475499999899</v>
      </c>
      <c r="E22">
        <f>getDistance(B$6, C$6, B22, C22)</f>
        <v>1.6876067697646491</v>
      </c>
    </row>
    <row r="23" spans="1:5" x14ac:dyDescent="0.35">
      <c r="A23" t="s">
        <v>5</v>
      </c>
      <c r="B23">
        <v>41.150435666666603</v>
      </c>
      <c r="C23">
        <v>-104.64440399999999</v>
      </c>
      <c r="E23">
        <f>getDistance(B$7, C$7, B23, C23)</f>
        <v>1.674202214928977</v>
      </c>
    </row>
    <row r="25" spans="1:5" x14ac:dyDescent="0.35">
      <c r="A25" t="s">
        <v>6</v>
      </c>
      <c r="B25">
        <v>3</v>
      </c>
    </row>
    <row r="26" spans="1:5" x14ac:dyDescent="0.35">
      <c r="A26" t="s">
        <v>4</v>
      </c>
      <c r="B26">
        <v>41.146940333333298</v>
      </c>
      <c r="C26">
        <v>-104.655943666666</v>
      </c>
      <c r="E26">
        <f>getDistance(B$2, C$2, B26, C26)</f>
        <v>1.5570546561929355</v>
      </c>
    </row>
    <row r="27" spans="1:5" x14ac:dyDescent="0.35">
      <c r="A27" t="s">
        <v>0</v>
      </c>
      <c r="B27">
        <v>41.147213833333304</v>
      </c>
      <c r="C27">
        <v>-104.651468333333</v>
      </c>
      <c r="E27">
        <f>getDistance(B$3, C$3, B27, C27)</f>
        <v>2.7085691035877435</v>
      </c>
    </row>
    <row r="28" spans="1:5" x14ac:dyDescent="0.35">
      <c r="A28" t="s">
        <v>1</v>
      </c>
      <c r="B28">
        <v>41.147952666666598</v>
      </c>
      <c r="C28">
        <v>-104.648074333333</v>
      </c>
      <c r="E28">
        <f>getDistance(B$4, C$4, B28, C28)</f>
        <v>0.18987059593200684</v>
      </c>
    </row>
    <row r="29" spans="1:5" x14ac:dyDescent="0.35">
      <c r="A29" t="s">
        <v>2</v>
      </c>
      <c r="B29">
        <v>41.149391833333297</v>
      </c>
      <c r="C29">
        <v>-104.6453025</v>
      </c>
      <c r="E29">
        <f>getDistance(B$5, C$5, B29, C29)</f>
        <v>4.6041172656603457</v>
      </c>
    </row>
    <row r="30" spans="1:5" x14ac:dyDescent="0.35">
      <c r="A30" t="s">
        <v>3</v>
      </c>
      <c r="B30">
        <v>41.149816666666602</v>
      </c>
      <c r="C30">
        <v>-104.64477283333299</v>
      </c>
      <c r="E30">
        <f>getDistance(B$6, C$6, B30, C30)</f>
        <v>4.3078035632049261</v>
      </c>
    </row>
    <row r="31" spans="1:5" x14ac:dyDescent="0.35">
      <c r="A31" t="s">
        <v>5</v>
      </c>
      <c r="B31">
        <v>41.1504481666666</v>
      </c>
      <c r="C31">
        <v>-104.644397333333</v>
      </c>
      <c r="E31">
        <f>getDistance(B$7, C$7, B31, C31)</f>
        <v>2.9628331571405209</v>
      </c>
    </row>
    <row r="33" spans="1:5" x14ac:dyDescent="0.35">
      <c r="A33" t="s">
        <v>6</v>
      </c>
      <c r="B33">
        <v>4</v>
      </c>
    </row>
    <row r="34" spans="1:5" x14ac:dyDescent="0.35">
      <c r="A34" t="s">
        <v>4</v>
      </c>
      <c r="B34">
        <v>41.146938333333303</v>
      </c>
      <c r="C34">
        <v>-104.655941333333</v>
      </c>
      <c r="E34">
        <f>getDistance(B$2, C$2, B34, C34)</f>
        <v>1.8481930071683195</v>
      </c>
    </row>
    <row r="35" spans="1:5" x14ac:dyDescent="0.35">
      <c r="A35" t="s">
        <v>0</v>
      </c>
      <c r="B35">
        <v>41.147206999999902</v>
      </c>
      <c r="C35">
        <v>-104.65152199999901</v>
      </c>
      <c r="E35">
        <f>getDistance(B$3, C$3, B35, C35)</f>
        <v>7.0935156584586156</v>
      </c>
    </row>
    <row r="36" spans="1:5" x14ac:dyDescent="0.35">
      <c r="A36" t="s">
        <v>1</v>
      </c>
      <c r="B36">
        <v>41.147949333333301</v>
      </c>
      <c r="C36">
        <v>-104.64810166666599</v>
      </c>
      <c r="E36">
        <f>getDistance(B$4, C$4, B36, C36)</f>
        <v>2.3234917192171967</v>
      </c>
    </row>
    <row r="37" spans="1:5" x14ac:dyDescent="0.35">
      <c r="A37" t="s">
        <v>2</v>
      </c>
      <c r="B37">
        <v>41.149407999999902</v>
      </c>
      <c r="C37">
        <v>-104.645267333333</v>
      </c>
      <c r="E37">
        <f>getDistance(B$5, C$5, B37, C37)</f>
        <v>1.3324804044216876</v>
      </c>
    </row>
    <row r="38" spans="1:5" x14ac:dyDescent="0.35">
      <c r="A38" t="s">
        <v>3</v>
      </c>
      <c r="B38">
        <v>41.149832500000002</v>
      </c>
      <c r="C38">
        <v>-104.644745833333</v>
      </c>
      <c r="E38">
        <f>getDistance(B$6, C$6, B38, C38)</f>
        <v>2.0734182041344251</v>
      </c>
    </row>
    <row r="39" spans="1:5" x14ac:dyDescent="0.35">
      <c r="A39" t="s">
        <v>5</v>
      </c>
      <c r="B39">
        <v>41.1504433333333</v>
      </c>
      <c r="C39">
        <v>-104.64439266666599</v>
      </c>
      <c r="E39">
        <f>getDistance(B$7, C$7, B39, C39)</f>
        <v>2.923020669313825</v>
      </c>
    </row>
    <row r="41" spans="1:5" x14ac:dyDescent="0.35">
      <c r="A41" t="s">
        <v>6</v>
      </c>
      <c r="B41">
        <v>5</v>
      </c>
    </row>
    <row r="42" spans="1:5" x14ac:dyDescent="0.35">
      <c r="A42" t="s">
        <v>4</v>
      </c>
      <c r="B42">
        <v>41.146939166666598</v>
      </c>
      <c r="C42">
        <v>-104.655936166666</v>
      </c>
      <c r="E42">
        <f>getDistance(B$2, C$2, B42, C42)</f>
        <v>2.1481405749201876</v>
      </c>
    </row>
    <row r="43" spans="1:5" x14ac:dyDescent="0.35">
      <c r="A43" t="s">
        <v>0</v>
      </c>
      <c r="B43">
        <v>41.147219833333303</v>
      </c>
      <c r="C43">
        <v>-104.65150666666599</v>
      </c>
      <c r="E43">
        <f>getDistance(B$3, C$3, B43, C43)</f>
        <v>5.4898547256818642</v>
      </c>
    </row>
    <row r="44" spans="1:5" x14ac:dyDescent="0.35">
      <c r="A44" t="s">
        <v>1</v>
      </c>
      <c r="B44">
        <v>41.147941666666597</v>
      </c>
      <c r="C44">
        <v>-104.648108666666</v>
      </c>
      <c r="E44">
        <f>getDistance(B$4, C$4, B44, C44)</f>
        <v>3.0821092094917013</v>
      </c>
    </row>
    <row r="45" spans="1:5" x14ac:dyDescent="0.35">
      <c r="A45" t="s">
        <v>2</v>
      </c>
      <c r="B45">
        <v>41.149390166666599</v>
      </c>
      <c r="C45">
        <v>-104.64528766666599</v>
      </c>
      <c r="E45">
        <f>getDistance(B$5, C$5, B45, C45)</f>
        <v>3.9062154811417837</v>
      </c>
    </row>
    <row r="46" spans="1:5" x14ac:dyDescent="0.35">
      <c r="A46" t="s">
        <v>3</v>
      </c>
      <c r="B46">
        <v>41.149819999999998</v>
      </c>
      <c r="C46">
        <v>-104.644757</v>
      </c>
      <c r="E46">
        <f>getDistance(B$6, C$6, B46, C46)</f>
        <v>3.5113228812435615</v>
      </c>
    </row>
    <row r="47" spans="1:5" x14ac:dyDescent="0.35">
      <c r="A47" t="s">
        <v>5</v>
      </c>
      <c r="B47">
        <v>41.1504403333333</v>
      </c>
      <c r="C47">
        <v>-104.644394666666</v>
      </c>
      <c r="E47">
        <f>getDistance(B$7, C$7, B47, C47)</f>
        <v>2.6085621802434122</v>
      </c>
    </row>
    <row r="50" spans="5:5" x14ac:dyDescent="0.35">
      <c r="E50">
        <f>AVERAGE(E10:E47)</f>
        <v>2.7453112409448588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8251D77B35B4DBB207DAEC4829EB0" ma:contentTypeVersion="13" ma:contentTypeDescription="Create a new document." ma:contentTypeScope="" ma:versionID="ee29951bec3b9e59c2e418cde3e22b81">
  <xsd:schema xmlns:xsd="http://www.w3.org/2001/XMLSchema" xmlns:xs="http://www.w3.org/2001/XMLSchema" xmlns:p="http://schemas.microsoft.com/office/2006/metadata/properties" xmlns:ns3="189d6e3f-fe2e-49c4-97ac-542c32e38783" xmlns:ns4="b8bc2096-d554-435b-aeab-27796fe2ae3e" targetNamespace="http://schemas.microsoft.com/office/2006/metadata/properties" ma:root="true" ma:fieldsID="1fe9a815bd3f6f075d44634a385b1f3c" ns3:_="" ns4:_="">
    <xsd:import namespace="189d6e3f-fe2e-49c4-97ac-542c32e38783"/>
    <xsd:import namespace="b8bc2096-d554-435b-aeab-27796fe2ae3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9d6e3f-fe2e-49c4-97ac-542c32e387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bc2096-d554-435b-aeab-27796fe2ae3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7EFF231-A1EB-4837-9CA5-911E7E72D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9d6e3f-fe2e-49c4-97ac-542c32e38783"/>
    <ds:schemaRef ds:uri="b8bc2096-d554-435b-aeab-27796fe2ae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64D86D-35FA-48F2-BFB9-9C6149B7AC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28E6B9-FB57-48A5-8CE4-1CB4AAB6575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89d6e3f-fe2e-49c4-97ac-542c32e38783"/>
    <ds:schemaRef ds:uri="http://purl.org/dc/elements/1.1/"/>
    <ds:schemaRef ds:uri="http://schemas.microsoft.com/office/2006/metadata/properties"/>
    <ds:schemaRef ds:uri="http://schemas.microsoft.com/office/infopath/2007/PartnerControls"/>
    <ds:schemaRef ds:uri="b8bc2096-d554-435b-aeab-27796fe2ae3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Frye</dc:creator>
  <cp:lastModifiedBy>Jacob Frye</cp:lastModifiedBy>
  <dcterms:created xsi:type="dcterms:W3CDTF">2020-06-11T22:53:05Z</dcterms:created>
  <dcterms:modified xsi:type="dcterms:W3CDTF">2020-06-30T18:59:50Z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0x010100BBD8251D77B35B4DBB207DAEC4829EB0</vt:lpwstr>
  </property>
</Properties>
</file>